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4915" windowHeight="12345"/>
  </bookViews>
  <sheets>
    <sheet name="Questions" sheetId="1" r:id="rId1"/>
    <sheet name="Cat" sheetId="5" r:id="rId2"/>
    <sheet name="Subcat" sheetId="6" r:id="rId3"/>
    <sheet name="Topics" sheetId="3" r:id="rId4"/>
    <sheet name="Concepts" sheetId="4" r:id="rId5"/>
  </sheets>
  <functionGroups builtInGroupCount="17"/>
  <definedNames>
    <definedName name="Categories">Cat!$A$2:$B$7</definedName>
    <definedName name="CategoriesNames">Cat!$A$2:$A$7</definedName>
    <definedName name="CodeEntry">Questions!$K$2</definedName>
    <definedName name="Questions">Questions!$I:$I</definedName>
    <definedName name="Subcategories">Subcat!$C$2:$D$22</definedName>
    <definedName name="Topics">Topics!$E$2:$F$63</definedName>
  </definedNames>
  <calcPr calcId="145621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G181" i="1"/>
  <c r="E181" i="1"/>
  <c r="C181" i="1"/>
  <c r="G180" i="1"/>
  <c r="E180" i="1"/>
  <c r="C180" i="1"/>
  <c r="G179" i="1"/>
  <c r="E179" i="1"/>
  <c r="C179" i="1"/>
  <c r="G178" i="1"/>
  <c r="E178" i="1"/>
  <c r="C178" i="1"/>
  <c r="G177" i="1"/>
  <c r="E177" i="1"/>
  <c r="C177" i="1"/>
  <c r="G176" i="1"/>
  <c r="E176" i="1"/>
  <c r="C176" i="1"/>
  <c r="G175" i="1"/>
  <c r="E175" i="1"/>
  <c r="C175" i="1"/>
  <c r="G174" i="1"/>
  <c r="E174" i="1"/>
  <c r="C174" i="1"/>
  <c r="G173" i="1"/>
  <c r="E173" i="1"/>
  <c r="C173" i="1"/>
  <c r="G172" i="1"/>
  <c r="E172" i="1"/>
  <c r="C172" i="1"/>
  <c r="G169" i="1"/>
  <c r="E169" i="1"/>
  <c r="C169" i="1"/>
  <c r="G170" i="1"/>
  <c r="E170" i="1"/>
  <c r="C170" i="1"/>
  <c r="G168" i="1"/>
  <c r="E168" i="1"/>
  <c r="C168" i="1"/>
  <c r="G167" i="1"/>
  <c r="E167" i="1"/>
  <c r="C167" i="1"/>
  <c r="G166" i="1"/>
  <c r="E166" i="1"/>
  <c r="C166" i="1"/>
  <c r="G165" i="1"/>
  <c r="E165" i="1"/>
  <c r="C165" i="1"/>
  <c r="G161" i="1"/>
  <c r="E161" i="1"/>
  <c r="C161" i="1"/>
  <c r="G160" i="1"/>
  <c r="E160" i="1"/>
  <c r="C160" i="1"/>
  <c r="G159" i="1"/>
  <c r="E159" i="1"/>
  <c r="C159" i="1"/>
  <c r="G155" i="1"/>
  <c r="E155" i="1"/>
  <c r="C155" i="1"/>
  <c r="G154" i="1"/>
  <c r="E154" i="1"/>
  <c r="C154" i="1"/>
  <c r="G153" i="1"/>
  <c r="E153" i="1"/>
  <c r="C153" i="1"/>
  <c r="G152" i="1"/>
  <c r="E152" i="1"/>
  <c r="C152" i="1"/>
  <c r="G228" i="1"/>
  <c r="E228" i="1"/>
  <c r="C228" i="1"/>
  <c r="G151" i="1"/>
  <c r="E151" i="1"/>
  <c r="C151" i="1"/>
  <c r="G150" i="1"/>
  <c r="E150" i="1"/>
  <c r="C150" i="1"/>
  <c r="G149" i="1"/>
  <c r="E149" i="1"/>
  <c r="C149" i="1"/>
  <c r="G148" i="1"/>
  <c r="E148" i="1"/>
  <c r="C148" i="1"/>
  <c r="G147" i="1"/>
  <c r="E147" i="1"/>
  <c r="C147" i="1"/>
  <c r="G146" i="1"/>
  <c r="E146" i="1"/>
  <c r="C146" i="1"/>
  <c r="G145" i="1"/>
  <c r="E145" i="1"/>
  <c r="C145" i="1"/>
  <c r="G144" i="1"/>
  <c r="E144" i="1"/>
  <c r="C144" i="1"/>
  <c r="G143" i="1"/>
  <c r="E143" i="1"/>
  <c r="C143" i="1"/>
  <c r="G234" i="1"/>
  <c r="E234" i="1"/>
  <c r="C234" i="1"/>
  <c r="G235" i="1"/>
  <c r="E235" i="1"/>
  <c r="C235" i="1"/>
  <c r="G236" i="1"/>
  <c r="E236" i="1"/>
  <c r="C236" i="1"/>
  <c r="G237" i="1"/>
  <c r="E237" i="1"/>
  <c r="C237" i="1"/>
  <c r="G248" i="1"/>
  <c r="E248" i="1"/>
  <c r="C248" i="1"/>
  <c r="G249" i="1"/>
  <c r="E249" i="1"/>
  <c r="C249" i="1"/>
  <c r="G250" i="1"/>
  <c r="E250" i="1"/>
  <c r="C250" i="1"/>
  <c r="G260" i="1"/>
  <c r="E260" i="1"/>
  <c r="C260" i="1"/>
  <c r="G259" i="1"/>
  <c r="E259" i="1"/>
  <c r="C259" i="1"/>
  <c r="G258" i="1"/>
  <c r="E258" i="1"/>
  <c r="C258" i="1"/>
  <c r="G257" i="1"/>
  <c r="E257" i="1"/>
  <c r="C257" i="1"/>
  <c r="G256" i="1"/>
  <c r="E256" i="1"/>
  <c r="C256" i="1"/>
  <c r="G255" i="1"/>
  <c r="E255" i="1"/>
  <c r="C255" i="1"/>
  <c r="G254" i="1"/>
  <c r="E254" i="1"/>
  <c r="C254" i="1"/>
  <c r="G164" i="1"/>
  <c r="E164" i="1"/>
  <c r="C164" i="1"/>
  <c r="G163" i="1"/>
  <c r="E163" i="1"/>
  <c r="C163" i="1"/>
  <c r="G197" i="1"/>
  <c r="E197" i="1"/>
  <c r="C197" i="1"/>
  <c r="G198" i="1"/>
  <c r="E198" i="1"/>
  <c r="C198" i="1"/>
  <c r="G199" i="1"/>
  <c r="E199" i="1"/>
  <c r="C199" i="1"/>
  <c r="G192" i="1"/>
  <c r="E192" i="1"/>
  <c r="C192" i="1"/>
  <c r="G193" i="1"/>
  <c r="E193" i="1"/>
  <c r="C193" i="1"/>
  <c r="G194" i="1"/>
  <c r="E194" i="1"/>
  <c r="C194" i="1"/>
  <c r="G195" i="1"/>
  <c r="E195" i="1"/>
  <c r="C195" i="1"/>
  <c r="G185" i="1"/>
  <c r="E185" i="1"/>
  <c r="C185" i="1"/>
  <c r="G186" i="1"/>
  <c r="E186" i="1"/>
  <c r="C186" i="1"/>
  <c r="G187" i="1"/>
  <c r="E187" i="1"/>
  <c r="C187" i="1"/>
  <c r="G188" i="1"/>
  <c r="E188" i="1"/>
  <c r="C188" i="1"/>
  <c r="G189" i="1"/>
  <c r="E189" i="1"/>
  <c r="C189" i="1"/>
  <c r="G190" i="1"/>
  <c r="E190" i="1"/>
  <c r="C190" i="1"/>
  <c r="G191" i="1"/>
  <c r="E191" i="1"/>
  <c r="C191" i="1"/>
  <c r="G196" i="1"/>
  <c r="E196" i="1"/>
  <c r="C196" i="1"/>
  <c r="G156" i="1"/>
  <c r="E156" i="1"/>
  <c r="C156" i="1"/>
  <c r="G157" i="1"/>
  <c r="E157" i="1"/>
  <c r="C157" i="1"/>
  <c r="G158" i="1"/>
  <c r="E158" i="1"/>
  <c r="C158" i="1"/>
  <c r="G162" i="1"/>
  <c r="E162" i="1"/>
  <c r="C162" i="1"/>
  <c r="G171" i="1"/>
  <c r="E171" i="1"/>
  <c r="C171" i="1"/>
  <c r="G182" i="1"/>
  <c r="E182" i="1"/>
  <c r="C182" i="1"/>
  <c r="G183" i="1"/>
  <c r="E183" i="1"/>
  <c r="C183" i="1"/>
  <c r="G184" i="1"/>
  <c r="E184" i="1"/>
  <c r="C184" i="1"/>
  <c r="G138" i="1"/>
  <c r="E138" i="1"/>
  <c r="C138" i="1"/>
  <c r="G131" i="1"/>
  <c r="E131" i="1"/>
  <c r="C131" i="1"/>
  <c r="G137" i="1"/>
  <c r="E137" i="1"/>
  <c r="C137" i="1"/>
  <c r="G136" i="1"/>
  <c r="E136" i="1"/>
  <c r="C136" i="1"/>
  <c r="G142" i="1"/>
  <c r="E142" i="1"/>
  <c r="C142" i="1"/>
  <c r="G135" i="1"/>
  <c r="E135" i="1"/>
  <c r="C135" i="1"/>
  <c r="G139" i="1"/>
  <c r="E139" i="1"/>
  <c r="C139" i="1"/>
  <c r="G134" i="1"/>
  <c r="E134" i="1"/>
  <c r="C134" i="1"/>
  <c r="G95" i="1"/>
  <c r="E95" i="1"/>
  <c r="C95" i="1"/>
  <c r="G94" i="1"/>
  <c r="E94" i="1"/>
  <c r="C94" i="1"/>
  <c r="G93" i="1"/>
  <c r="E93" i="1"/>
  <c r="C93" i="1"/>
  <c r="G96" i="1" l="1"/>
  <c r="E96" i="1"/>
  <c r="C96" i="1"/>
  <c r="G97" i="1"/>
  <c r="E97" i="1"/>
  <c r="C97" i="1"/>
  <c r="G6" i="1"/>
  <c r="E6" i="1"/>
  <c r="C6" i="1"/>
  <c r="A2" i="1" l="1"/>
  <c r="A501" i="1" l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D8" i="6"/>
  <c r="D9" i="6"/>
  <c r="F9" i="6" s="1"/>
  <c r="D10" i="6"/>
  <c r="F10" i="6" s="1"/>
  <c r="D11" i="6"/>
  <c r="D12" i="6"/>
  <c r="D13" i="6"/>
  <c r="F13" i="6" s="1"/>
  <c r="D14" i="6"/>
  <c r="G14" i="6" s="1"/>
  <c r="D15" i="6"/>
  <c r="D16" i="6"/>
  <c r="D17" i="6"/>
  <c r="F17" i="6" s="1"/>
  <c r="D18" i="6"/>
  <c r="F18" i="6" s="1"/>
  <c r="D19" i="6"/>
  <c r="D20" i="6"/>
  <c r="G20" i="6" s="1"/>
  <c r="D21" i="6"/>
  <c r="F21" i="6" s="1"/>
  <c r="D22" i="6"/>
  <c r="F22" i="6" s="1"/>
  <c r="D3" i="6"/>
  <c r="D8" i="3" s="1"/>
  <c r="D4" i="6"/>
  <c r="D19" i="3" s="1"/>
  <c r="D5" i="6"/>
  <c r="E141" i="1" s="1"/>
  <c r="D6" i="6"/>
  <c r="G6" i="6" s="1"/>
  <c r="D7" i="6"/>
  <c r="D60" i="3" s="1"/>
  <c r="D2" i="6"/>
  <c r="E15" i="1" s="1"/>
  <c r="B3" i="5"/>
  <c r="D3" i="5" s="1"/>
  <c r="B4" i="5"/>
  <c r="C15" i="1" s="1"/>
  <c r="B5" i="5"/>
  <c r="D5" i="5" s="1"/>
  <c r="B6" i="5"/>
  <c r="B18" i="6" s="1"/>
  <c r="B7" i="5"/>
  <c r="B20" i="6" s="1"/>
  <c r="B2" i="5"/>
  <c r="E2" i="5" s="1"/>
  <c r="F3" i="3"/>
  <c r="G15" i="1" s="1"/>
  <c r="F4" i="3"/>
  <c r="F5" i="3"/>
  <c r="I5" i="3" s="1"/>
  <c r="F6" i="3"/>
  <c r="H6" i="3" s="1"/>
  <c r="F7" i="3"/>
  <c r="H7" i="3" s="1"/>
  <c r="F8" i="3"/>
  <c r="I8" i="3" s="1"/>
  <c r="F9" i="3"/>
  <c r="H9" i="3" s="1"/>
  <c r="F10" i="3"/>
  <c r="I10" i="3" s="1"/>
  <c r="F11" i="3"/>
  <c r="I11" i="3" s="1"/>
  <c r="F12" i="3"/>
  <c r="I12" i="3" s="1"/>
  <c r="F13" i="3"/>
  <c r="H13" i="3" s="1"/>
  <c r="F14" i="3"/>
  <c r="H14" i="3" s="1"/>
  <c r="F15" i="3"/>
  <c r="H15" i="3" s="1"/>
  <c r="F16" i="3"/>
  <c r="H16" i="3" s="1"/>
  <c r="F17" i="3"/>
  <c r="I17" i="3" s="1"/>
  <c r="F18" i="3"/>
  <c r="I18" i="3" s="1"/>
  <c r="F19" i="3"/>
  <c r="I19" i="3" s="1"/>
  <c r="F20" i="3"/>
  <c r="I20" i="3" s="1"/>
  <c r="F21" i="3"/>
  <c r="I21" i="3" s="1"/>
  <c r="F22" i="3"/>
  <c r="H22" i="3" s="1"/>
  <c r="F23" i="3"/>
  <c r="I23" i="3" s="1"/>
  <c r="F24" i="3"/>
  <c r="H24" i="3" s="1"/>
  <c r="F25" i="3"/>
  <c r="G141" i="1" s="1"/>
  <c r="F26" i="3"/>
  <c r="I26" i="3" s="1"/>
  <c r="F27" i="3"/>
  <c r="I27" i="3" s="1"/>
  <c r="F28" i="3"/>
  <c r="I28" i="3" s="1"/>
  <c r="F29" i="3"/>
  <c r="H29" i="3" s="1"/>
  <c r="F30" i="3"/>
  <c r="I30" i="3" s="1"/>
  <c r="F31" i="3"/>
  <c r="I31" i="3" s="1"/>
  <c r="F32" i="3"/>
  <c r="H32" i="3" s="1"/>
  <c r="F33" i="3"/>
  <c r="I33" i="3" s="1"/>
  <c r="F34" i="3"/>
  <c r="I34" i="3" s="1"/>
  <c r="F35" i="3"/>
  <c r="I35" i="3" s="1"/>
  <c r="F36" i="3"/>
  <c r="I36" i="3" s="1"/>
  <c r="F37" i="3"/>
  <c r="I37" i="3" s="1"/>
  <c r="F38" i="3"/>
  <c r="I38" i="3" s="1"/>
  <c r="F39" i="3"/>
  <c r="I39" i="3" s="1"/>
  <c r="F40" i="3"/>
  <c r="H40" i="3" s="1"/>
  <c r="F41" i="3"/>
  <c r="I41" i="3" s="1"/>
  <c r="F42" i="3"/>
  <c r="I42" i="3" s="1"/>
  <c r="F43" i="3"/>
  <c r="I43" i="3" s="1"/>
  <c r="F44" i="3"/>
  <c r="I44" i="3" s="1"/>
  <c r="F45" i="3"/>
  <c r="I45" i="3" s="1"/>
  <c r="F46" i="3"/>
  <c r="H46" i="3" s="1"/>
  <c r="F47" i="3"/>
  <c r="H47" i="3" s="1"/>
  <c r="F48" i="3"/>
  <c r="I48" i="3" s="1"/>
  <c r="F49" i="3"/>
  <c r="F50" i="3"/>
  <c r="H50" i="3" s="1"/>
  <c r="F51" i="3"/>
  <c r="I51" i="3" s="1"/>
  <c r="F52" i="3"/>
  <c r="I52" i="3" s="1"/>
  <c r="F53" i="3"/>
  <c r="I53" i="3" s="1"/>
  <c r="F54" i="3"/>
  <c r="I54" i="3" s="1"/>
  <c r="F55" i="3"/>
  <c r="I55" i="3" s="1"/>
  <c r="F56" i="3"/>
  <c r="I56" i="3" s="1"/>
  <c r="F57" i="3"/>
  <c r="I57" i="3" s="1"/>
  <c r="F58" i="3"/>
  <c r="I58" i="3" s="1"/>
  <c r="F59" i="3"/>
  <c r="I59" i="3" s="1"/>
  <c r="F60" i="3"/>
  <c r="H60" i="3" s="1"/>
  <c r="F61" i="3"/>
  <c r="H61" i="3" s="1"/>
  <c r="F62" i="3"/>
  <c r="I62" i="3" s="1"/>
  <c r="F63" i="3"/>
  <c r="I63" i="3" s="1"/>
  <c r="F2" i="3"/>
  <c r="H31" i="3" l="1"/>
  <c r="H63" i="3"/>
  <c r="H39" i="3"/>
  <c r="H55" i="3"/>
  <c r="H23" i="3"/>
  <c r="D3" i="3"/>
  <c r="H54" i="3"/>
  <c r="H38" i="3"/>
  <c r="H62" i="3"/>
  <c r="H30" i="3"/>
  <c r="I3" i="3"/>
  <c r="B4" i="6"/>
  <c r="H59" i="3"/>
  <c r="H51" i="3"/>
  <c r="H43" i="3"/>
  <c r="H35" i="3"/>
  <c r="H27" i="3"/>
  <c r="H19" i="3"/>
  <c r="H11" i="3"/>
  <c r="H3" i="3"/>
  <c r="H58" i="3"/>
  <c r="H42" i="3"/>
  <c r="H34" i="3"/>
  <c r="H26" i="3"/>
  <c r="H18" i="3"/>
  <c r="H10" i="3"/>
  <c r="B59" i="3"/>
  <c r="B51" i="3"/>
  <c r="B39" i="3"/>
  <c r="B28" i="3"/>
  <c r="B19" i="3"/>
  <c r="B7" i="3"/>
  <c r="D48" i="3"/>
  <c r="D32" i="3"/>
  <c r="F14" i="6"/>
  <c r="B2" i="3"/>
  <c r="B57" i="3"/>
  <c r="B47" i="3"/>
  <c r="B36" i="3"/>
  <c r="B27" i="3"/>
  <c r="B15" i="3"/>
  <c r="B4" i="3"/>
  <c r="B22" i="6"/>
  <c r="D43" i="3"/>
  <c r="D27" i="3"/>
  <c r="G10" i="6"/>
  <c r="B63" i="3"/>
  <c r="B55" i="3"/>
  <c r="B44" i="3"/>
  <c r="B35" i="3"/>
  <c r="B23" i="3"/>
  <c r="B12" i="3"/>
  <c r="B3" i="3"/>
  <c r="D56" i="3"/>
  <c r="D40" i="3"/>
  <c r="D24" i="3"/>
  <c r="F6" i="6"/>
  <c r="B60" i="3"/>
  <c r="B52" i="3"/>
  <c r="B43" i="3"/>
  <c r="B31" i="3"/>
  <c r="B20" i="3"/>
  <c r="B11" i="3"/>
  <c r="B5" i="6"/>
  <c r="D51" i="3"/>
  <c r="D35" i="3"/>
  <c r="G18" i="6"/>
  <c r="I24" i="3"/>
  <c r="I40" i="3"/>
  <c r="B61" i="3"/>
  <c r="B56" i="3"/>
  <c r="B48" i="3"/>
  <c r="B40" i="3"/>
  <c r="B32" i="3"/>
  <c r="B24" i="3"/>
  <c r="B16" i="3"/>
  <c r="B8" i="3"/>
  <c r="B19" i="6"/>
  <c r="D55" i="3"/>
  <c r="D47" i="3"/>
  <c r="D39" i="3"/>
  <c r="D31" i="3"/>
  <c r="D23" i="3"/>
  <c r="E7" i="5"/>
  <c r="G22" i="6"/>
  <c r="B14" i="6"/>
  <c r="D52" i="3"/>
  <c r="D44" i="3"/>
  <c r="D36" i="3"/>
  <c r="D28" i="3"/>
  <c r="D20" i="3"/>
  <c r="D7" i="5"/>
  <c r="B11" i="6"/>
  <c r="D15" i="3"/>
  <c r="E3" i="5"/>
  <c r="F20" i="6"/>
  <c r="D4" i="3"/>
  <c r="G226" i="1"/>
  <c r="G227" i="1"/>
  <c r="I61" i="3"/>
  <c r="I29" i="3"/>
  <c r="G44" i="1"/>
  <c r="G48" i="1"/>
  <c r="G52" i="1"/>
  <c r="G56" i="1"/>
  <c r="G60" i="1"/>
  <c r="G45" i="1"/>
  <c r="G49" i="1"/>
  <c r="G53" i="1"/>
  <c r="G57" i="1"/>
  <c r="G61" i="1"/>
  <c r="G46" i="1"/>
  <c r="G50" i="1"/>
  <c r="G54" i="1"/>
  <c r="G58" i="1"/>
  <c r="G43" i="1"/>
  <c r="G47" i="1"/>
  <c r="G51" i="1"/>
  <c r="G55" i="1"/>
  <c r="G59" i="1"/>
  <c r="I16" i="3"/>
  <c r="E5" i="5"/>
  <c r="H57" i="3"/>
  <c r="H53" i="3"/>
  <c r="H49" i="3"/>
  <c r="H45" i="3"/>
  <c r="H41" i="3"/>
  <c r="H37" i="3"/>
  <c r="H33" i="3"/>
  <c r="H25" i="3"/>
  <c r="H21" i="3"/>
  <c r="H17" i="3"/>
  <c r="H5" i="3"/>
  <c r="G241" i="1"/>
  <c r="G245" i="1"/>
  <c r="G238" i="1"/>
  <c r="G242" i="1"/>
  <c r="G246" i="1"/>
  <c r="G239" i="1"/>
  <c r="G243" i="1"/>
  <c r="G240" i="1"/>
  <c r="G244" i="1"/>
  <c r="G216" i="1"/>
  <c r="G217" i="1"/>
  <c r="G214" i="1"/>
  <c r="G218" i="1"/>
  <c r="G215" i="1"/>
  <c r="G132" i="1"/>
  <c r="G133" i="1"/>
  <c r="G140" i="1"/>
  <c r="G123" i="1"/>
  <c r="G127" i="1"/>
  <c r="G124" i="1"/>
  <c r="G128" i="1"/>
  <c r="G125" i="1"/>
  <c r="G129" i="1"/>
  <c r="G126" i="1"/>
  <c r="G67" i="1"/>
  <c r="G68" i="1"/>
  <c r="G69" i="1"/>
  <c r="G66" i="1"/>
  <c r="G70" i="1"/>
  <c r="G71" i="1"/>
  <c r="G22" i="1"/>
  <c r="G23" i="1"/>
  <c r="G21" i="1"/>
  <c r="G17" i="1"/>
  <c r="G18" i="1"/>
  <c r="G19" i="1"/>
  <c r="G14" i="1"/>
  <c r="G24" i="1"/>
  <c r="G28" i="1"/>
  <c r="G32" i="1"/>
  <c r="G36" i="1"/>
  <c r="G40" i="1"/>
  <c r="G25" i="1"/>
  <c r="G29" i="1"/>
  <c r="G33" i="1"/>
  <c r="G37" i="1"/>
  <c r="G41" i="1"/>
  <c r="G16" i="1"/>
  <c r="G26" i="1"/>
  <c r="G30" i="1"/>
  <c r="G34" i="1"/>
  <c r="G38" i="1"/>
  <c r="G42" i="1"/>
  <c r="G13" i="1"/>
  <c r="G20" i="1"/>
  <c r="G27" i="1"/>
  <c r="G31" i="1"/>
  <c r="G35" i="1"/>
  <c r="G39" i="1"/>
  <c r="I32" i="3"/>
  <c r="I15" i="3"/>
  <c r="I7" i="3"/>
  <c r="B10" i="6"/>
  <c r="D59" i="3"/>
  <c r="D11" i="3"/>
  <c r="G105" i="1"/>
  <c r="G104" i="1"/>
  <c r="G109" i="1"/>
  <c r="G113" i="1"/>
  <c r="G106" i="1"/>
  <c r="G110" i="1"/>
  <c r="G107" i="1"/>
  <c r="G111" i="1"/>
  <c r="G108" i="1"/>
  <c r="G112" i="1"/>
  <c r="I13" i="3"/>
  <c r="B8" i="6"/>
  <c r="B9" i="6"/>
  <c r="I2" i="3"/>
  <c r="G10" i="1"/>
  <c r="G3" i="1"/>
  <c r="G7" i="1"/>
  <c r="G11" i="1"/>
  <c r="G4" i="1"/>
  <c r="G8" i="1"/>
  <c r="G12" i="1"/>
  <c r="G2" i="1"/>
  <c r="G5" i="1"/>
  <c r="G9" i="1"/>
  <c r="G252" i="1"/>
  <c r="G253" i="1"/>
  <c r="G247" i="1"/>
  <c r="G251" i="1"/>
  <c r="G220" i="1"/>
  <c r="G224" i="1"/>
  <c r="G221" i="1"/>
  <c r="G225" i="1"/>
  <c r="G222" i="1"/>
  <c r="G219" i="1"/>
  <c r="G223" i="1"/>
  <c r="G74" i="1"/>
  <c r="G73" i="1"/>
  <c r="G77" i="1"/>
  <c r="G75" i="1"/>
  <c r="G78" i="1"/>
  <c r="G72" i="1"/>
  <c r="G76" i="1"/>
  <c r="G79" i="1"/>
  <c r="I60" i="3"/>
  <c r="H2" i="3"/>
  <c r="H56" i="3"/>
  <c r="H52" i="3"/>
  <c r="H48" i="3"/>
  <c r="H44" i="3"/>
  <c r="H36" i="3"/>
  <c r="H28" i="3"/>
  <c r="H20" i="3"/>
  <c r="H12" i="3"/>
  <c r="H8" i="3"/>
  <c r="H4" i="3"/>
  <c r="G229" i="1"/>
  <c r="G233" i="1"/>
  <c r="G230" i="1"/>
  <c r="G231" i="1"/>
  <c r="G232" i="1"/>
  <c r="I50" i="3"/>
  <c r="G212" i="1"/>
  <c r="G213" i="1"/>
  <c r="G210" i="1"/>
  <c r="G211" i="1"/>
  <c r="I46" i="3"/>
  <c r="G130" i="1"/>
  <c r="I22" i="3"/>
  <c r="G114" i="1"/>
  <c r="G115" i="1"/>
  <c r="G119" i="1"/>
  <c r="G116" i="1"/>
  <c r="G120" i="1"/>
  <c r="G117" i="1"/>
  <c r="G121" i="1"/>
  <c r="G118" i="1"/>
  <c r="G122" i="1"/>
  <c r="I14" i="3"/>
  <c r="G64" i="1"/>
  <c r="G65" i="1"/>
  <c r="G62" i="1"/>
  <c r="G63" i="1"/>
  <c r="I6" i="3"/>
  <c r="I47" i="3"/>
  <c r="I25" i="3"/>
  <c r="I4" i="3"/>
  <c r="D6" i="5"/>
  <c r="B12" i="6"/>
  <c r="B16" i="6"/>
  <c r="E6" i="5"/>
  <c r="B13" i="6"/>
  <c r="B17" i="6"/>
  <c r="E21" i="1"/>
  <c r="E22" i="1"/>
  <c r="E23" i="1"/>
  <c r="E19" i="1"/>
  <c r="E17" i="1"/>
  <c r="E18" i="1"/>
  <c r="E4" i="1"/>
  <c r="E8" i="1"/>
  <c r="E12" i="1"/>
  <c r="E16" i="1"/>
  <c r="E26" i="1"/>
  <c r="E30" i="1"/>
  <c r="E34" i="1"/>
  <c r="E38" i="1"/>
  <c r="E42" i="1"/>
  <c r="E46" i="1"/>
  <c r="E50" i="1"/>
  <c r="E54" i="1"/>
  <c r="E58" i="1"/>
  <c r="E62" i="1"/>
  <c r="E5" i="1"/>
  <c r="E9" i="1"/>
  <c r="E13" i="1"/>
  <c r="E20" i="1"/>
  <c r="E27" i="1"/>
  <c r="E31" i="1"/>
  <c r="E35" i="1"/>
  <c r="E39" i="1"/>
  <c r="E43" i="1"/>
  <c r="E47" i="1"/>
  <c r="E51" i="1"/>
  <c r="E55" i="1"/>
  <c r="E59" i="1"/>
  <c r="E63" i="1"/>
  <c r="E10" i="1"/>
  <c r="E14" i="1"/>
  <c r="E24" i="1"/>
  <c r="E28" i="1"/>
  <c r="E32" i="1"/>
  <c r="E36" i="1"/>
  <c r="E40" i="1"/>
  <c r="E44" i="1"/>
  <c r="E48" i="1"/>
  <c r="E52" i="1"/>
  <c r="E56" i="1"/>
  <c r="E60" i="1"/>
  <c r="E64" i="1"/>
  <c r="E3" i="1"/>
  <c r="E7" i="1"/>
  <c r="E11" i="1"/>
  <c r="E25" i="1"/>
  <c r="E29" i="1"/>
  <c r="E33" i="1"/>
  <c r="E37" i="1"/>
  <c r="E41" i="1"/>
  <c r="E45" i="1"/>
  <c r="E49" i="1"/>
  <c r="E53" i="1"/>
  <c r="E57" i="1"/>
  <c r="E61" i="1"/>
  <c r="E65" i="1"/>
  <c r="E2" i="1"/>
  <c r="G2" i="6"/>
  <c r="D5" i="3"/>
  <c r="F2" i="6"/>
  <c r="D6" i="3"/>
  <c r="E115" i="1"/>
  <c r="E105" i="1"/>
  <c r="E114" i="1"/>
  <c r="E104" i="1"/>
  <c r="E107" i="1"/>
  <c r="E111" i="1"/>
  <c r="E117" i="1"/>
  <c r="E121" i="1"/>
  <c r="E125" i="1"/>
  <c r="E129" i="1"/>
  <c r="E140" i="1"/>
  <c r="E108" i="1"/>
  <c r="E112" i="1"/>
  <c r="E118" i="1"/>
  <c r="E122" i="1"/>
  <c r="E126" i="1"/>
  <c r="E130" i="1"/>
  <c r="E109" i="1"/>
  <c r="E113" i="1"/>
  <c r="E119" i="1"/>
  <c r="E123" i="1"/>
  <c r="E127" i="1"/>
  <c r="E132" i="1"/>
  <c r="E106" i="1"/>
  <c r="E110" i="1"/>
  <c r="E116" i="1"/>
  <c r="E120" i="1"/>
  <c r="E124" i="1"/>
  <c r="E128" i="1"/>
  <c r="E133" i="1"/>
  <c r="F4" i="6"/>
  <c r="G4" i="6"/>
  <c r="D13" i="3"/>
  <c r="D17" i="3"/>
  <c r="D21" i="3"/>
  <c r="D14" i="3"/>
  <c r="D18" i="3"/>
  <c r="D22" i="3"/>
  <c r="F16" i="6"/>
  <c r="G16" i="6"/>
  <c r="F12" i="6"/>
  <c r="G12" i="6"/>
  <c r="F8" i="6"/>
  <c r="G8" i="6"/>
  <c r="B15" i="6"/>
  <c r="D2" i="3"/>
  <c r="D16" i="3"/>
  <c r="G200" i="1"/>
  <c r="G204" i="1"/>
  <c r="G208" i="1"/>
  <c r="G201" i="1"/>
  <c r="G205" i="1"/>
  <c r="G209" i="1"/>
  <c r="G202" i="1"/>
  <c r="G206" i="1"/>
  <c r="G203" i="1"/>
  <c r="G207" i="1"/>
  <c r="G90" i="1"/>
  <c r="G99" i="1"/>
  <c r="G92" i="1"/>
  <c r="G89" i="1"/>
  <c r="G100" i="1"/>
  <c r="G103" i="1"/>
  <c r="G101" i="1"/>
  <c r="G98" i="1"/>
  <c r="G88" i="1"/>
  <c r="G102" i="1"/>
  <c r="G81" i="1"/>
  <c r="G80" i="1"/>
  <c r="G84" i="1"/>
  <c r="G91" i="1"/>
  <c r="G85" i="1"/>
  <c r="G82" i="1"/>
  <c r="G86" i="1"/>
  <c r="G83" i="1"/>
  <c r="G87" i="1"/>
  <c r="I9" i="3"/>
  <c r="F7" i="6"/>
  <c r="D57" i="3"/>
  <c r="D61" i="3"/>
  <c r="G7" i="6"/>
  <c r="D58" i="3"/>
  <c r="D62" i="3"/>
  <c r="E88" i="1"/>
  <c r="E102" i="1"/>
  <c r="E75" i="1"/>
  <c r="E78" i="1"/>
  <c r="E90" i="1"/>
  <c r="E99" i="1"/>
  <c r="E92" i="1"/>
  <c r="E74" i="1"/>
  <c r="E89" i="1"/>
  <c r="E100" i="1"/>
  <c r="E103" i="1"/>
  <c r="E73" i="1"/>
  <c r="E67" i="1"/>
  <c r="E101" i="1"/>
  <c r="E98" i="1"/>
  <c r="E77" i="1"/>
  <c r="E68" i="1"/>
  <c r="E80" i="1"/>
  <c r="E69" i="1"/>
  <c r="E81" i="1"/>
  <c r="E66" i="1"/>
  <c r="E72" i="1"/>
  <c r="E70" i="1"/>
  <c r="E82" i="1"/>
  <c r="E86" i="1"/>
  <c r="E71" i="1"/>
  <c r="E83" i="1"/>
  <c r="E87" i="1"/>
  <c r="E76" i="1"/>
  <c r="E84" i="1"/>
  <c r="E91" i="1"/>
  <c r="E79" i="1"/>
  <c r="E85" i="1"/>
  <c r="F3" i="6"/>
  <c r="D9" i="3"/>
  <c r="G3" i="6"/>
  <c r="D10" i="3"/>
  <c r="F19" i="6"/>
  <c r="G19" i="6"/>
  <c r="F15" i="6"/>
  <c r="G15" i="6"/>
  <c r="F11" i="6"/>
  <c r="G11" i="6"/>
  <c r="D63" i="3"/>
  <c r="D7" i="3"/>
  <c r="I49" i="3"/>
  <c r="D12" i="3"/>
  <c r="C101" i="1"/>
  <c r="C98" i="1"/>
  <c r="C77" i="1"/>
  <c r="C68" i="1"/>
  <c r="C88" i="1"/>
  <c r="C102" i="1"/>
  <c r="C75" i="1"/>
  <c r="C78" i="1"/>
  <c r="C90" i="1"/>
  <c r="C99" i="1"/>
  <c r="C92" i="1"/>
  <c r="C74" i="1"/>
  <c r="C89" i="1"/>
  <c r="C100" i="1"/>
  <c r="C103" i="1"/>
  <c r="C73" i="1"/>
  <c r="C67" i="1"/>
  <c r="C23" i="1"/>
  <c r="C22" i="1"/>
  <c r="C21" i="1"/>
  <c r="C114" i="1"/>
  <c r="C81" i="1"/>
  <c r="C115" i="1"/>
  <c r="C80" i="1"/>
  <c r="C19" i="1"/>
  <c r="C104" i="1"/>
  <c r="C17" i="1"/>
  <c r="C105" i="1"/>
  <c r="C18" i="1"/>
  <c r="C72" i="1"/>
  <c r="C4" i="1"/>
  <c r="C8" i="1"/>
  <c r="C12" i="1"/>
  <c r="C16" i="1"/>
  <c r="C26" i="1"/>
  <c r="C30" i="1"/>
  <c r="C34" i="1"/>
  <c r="C38" i="1"/>
  <c r="C42" i="1"/>
  <c r="C46" i="1"/>
  <c r="C50" i="1"/>
  <c r="C54" i="1"/>
  <c r="C5" i="1"/>
  <c r="C9" i="1"/>
  <c r="C13" i="1"/>
  <c r="C20" i="1"/>
  <c r="C27" i="1"/>
  <c r="C31" i="1"/>
  <c r="C35" i="1"/>
  <c r="C39" i="1"/>
  <c r="C43" i="1"/>
  <c r="C47" i="1"/>
  <c r="C51" i="1"/>
  <c r="C55" i="1"/>
  <c r="B62" i="3"/>
  <c r="B58" i="3"/>
  <c r="B54" i="3"/>
  <c r="B50" i="3"/>
  <c r="B46" i="3"/>
  <c r="B42" i="3"/>
  <c r="B38" i="3"/>
  <c r="B34" i="3"/>
  <c r="B30" i="3"/>
  <c r="B26" i="3"/>
  <c r="B22" i="3"/>
  <c r="B18" i="3"/>
  <c r="B14" i="3"/>
  <c r="B10" i="3"/>
  <c r="B6" i="3"/>
  <c r="B2" i="6"/>
  <c r="B6" i="6"/>
  <c r="E202" i="1"/>
  <c r="E206" i="1"/>
  <c r="E210" i="1"/>
  <c r="E214" i="1"/>
  <c r="E218" i="1"/>
  <c r="E222" i="1"/>
  <c r="E226" i="1"/>
  <c r="E231" i="1"/>
  <c r="E203" i="1"/>
  <c r="E207" i="1"/>
  <c r="E211" i="1"/>
  <c r="E215" i="1"/>
  <c r="E219" i="1"/>
  <c r="E223" i="1"/>
  <c r="E227" i="1"/>
  <c r="E232" i="1"/>
  <c r="E200" i="1"/>
  <c r="E204" i="1"/>
  <c r="E208" i="1"/>
  <c r="E212" i="1"/>
  <c r="E216" i="1"/>
  <c r="E220" i="1"/>
  <c r="E224" i="1"/>
  <c r="E229" i="1"/>
  <c r="E233" i="1"/>
  <c r="E241" i="1"/>
  <c r="E245" i="1"/>
  <c r="E252" i="1"/>
  <c r="E201" i="1"/>
  <c r="E205" i="1"/>
  <c r="E209" i="1"/>
  <c r="E213" i="1"/>
  <c r="E217" i="1"/>
  <c r="E221" i="1"/>
  <c r="E225" i="1"/>
  <c r="E230" i="1"/>
  <c r="E238" i="1"/>
  <c r="E242" i="1"/>
  <c r="E246" i="1"/>
  <c r="E253" i="1"/>
  <c r="B21" i="6"/>
  <c r="D54" i="3"/>
  <c r="D50" i="3"/>
  <c r="D46" i="3"/>
  <c r="D42" i="3"/>
  <c r="D38" i="3"/>
  <c r="D34" i="3"/>
  <c r="D30" i="3"/>
  <c r="D26" i="3"/>
  <c r="D2" i="5"/>
  <c r="E4" i="5"/>
  <c r="G21" i="6"/>
  <c r="G17" i="6"/>
  <c r="G13" i="6"/>
  <c r="G9" i="6"/>
  <c r="G5" i="6"/>
  <c r="C252" i="1"/>
  <c r="C245" i="1"/>
  <c r="C241" i="1"/>
  <c r="C233" i="1"/>
  <c r="C229" i="1"/>
  <c r="C224" i="1"/>
  <c r="C220" i="1"/>
  <c r="C216" i="1"/>
  <c r="C212" i="1"/>
  <c r="C208" i="1"/>
  <c r="C204" i="1"/>
  <c r="C200" i="1"/>
  <c r="C132" i="1"/>
  <c r="C127" i="1"/>
  <c r="C123" i="1"/>
  <c r="C119" i="1"/>
  <c r="C113" i="1"/>
  <c r="C109" i="1"/>
  <c r="C91" i="1"/>
  <c r="C84" i="1"/>
  <c r="C76" i="1"/>
  <c r="C66" i="1"/>
  <c r="C62" i="1"/>
  <c r="C58" i="1"/>
  <c r="C52" i="1"/>
  <c r="C44" i="1"/>
  <c r="C36" i="1"/>
  <c r="C28" i="1"/>
  <c r="C14" i="1"/>
  <c r="E243" i="1"/>
  <c r="B53" i="3"/>
  <c r="B49" i="3"/>
  <c r="B45" i="3"/>
  <c r="B41" i="3"/>
  <c r="B37" i="3"/>
  <c r="B33" i="3"/>
  <c r="B29" i="3"/>
  <c r="B25" i="3"/>
  <c r="B21" i="3"/>
  <c r="B17" i="3"/>
  <c r="B13" i="3"/>
  <c r="B9" i="3"/>
  <c r="B5" i="3"/>
  <c r="B3" i="6"/>
  <c r="B7" i="6"/>
  <c r="D53" i="3"/>
  <c r="D49" i="3"/>
  <c r="D45" i="3"/>
  <c r="D41" i="3"/>
  <c r="D37" i="3"/>
  <c r="D33" i="3"/>
  <c r="D29" i="3"/>
  <c r="D25" i="3"/>
  <c r="D4" i="5"/>
  <c r="F5" i="6"/>
  <c r="C251" i="1"/>
  <c r="C244" i="1"/>
  <c r="C240" i="1"/>
  <c r="C232" i="1"/>
  <c r="C227" i="1"/>
  <c r="C223" i="1"/>
  <c r="C219" i="1"/>
  <c r="C215" i="1"/>
  <c r="C211" i="1"/>
  <c r="C207" i="1"/>
  <c r="C203" i="1"/>
  <c r="C141" i="1"/>
  <c r="C130" i="1"/>
  <c r="C126" i="1"/>
  <c r="C122" i="1"/>
  <c r="C118" i="1"/>
  <c r="C112" i="1"/>
  <c r="C108" i="1"/>
  <c r="C87" i="1"/>
  <c r="C83" i="1"/>
  <c r="C71" i="1"/>
  <c r="C65" i="1"/>
  <c r="C61" i="1"/>
  <c r="C57" i="1"/>
  <c r="C49" i="1"/>
  <c r="C41" i="1"/>
  <c r="C33" i="1"/>
  <c r="C25" i="1"/>
  <c r="C11" i="1"/>
  <c r="C3" i="1"/>
  <c r="E251" i="1"/>
  <c r="E240" i="1"/>
  <c r="C2" i="1"/>
  <c r="C247" i="1"/>
  <c r="C243" i="1"/>
  <c r="C239" i="1"/>
  <c r="C231" i="1"/>
  <c r="C226" i="1"/>
  <c r="C222" i="1"/>
  <c r="C218" i="1"/>
  <c r="C214" i="1"/>
  <c r="C210" i="1"/>
  <c r="C206" i="1"/>
  <c r="C202" i="1"/>
  <c r="C140" i="1"/>
  <c r="C129" i="1"/>
  <c r="C125" i="1"/>
  <c r="C121" i="1"/>
  <c r="C117" i="1"/>
  <c r="C111" i="1"/>
  <c r="C107" i="1"/>
  <c r="C86" i="1"/>
  <c r="C82" i="1"/>
  <c r="C70" i="1"/>
  <c r="C64" i="1"/>
  <c r="C60" i="1"/>
  <c r="C56" i="1"/>
  <c r="C48" i="1"/>
  <c r="C40" i="1"/>
  <c r="C32" i="1"/>
  <c r="C24" i="1"/>
  <c r="C10" i="1"/>
  <c r="E247" i="1"/>
  <c r="E239" i="1"/>
  <c r="C253" i="1"/>
  <c r="C246" i="1"/>
  <c r="C242" i="1"/>
  <c r="C238" i="1"/>
  <c r="C230" i="1"/>
  <c r="C225" i="1"/>
  <c r="C221" i="1"/>
  <c r="C217" i="1"/>
  <c r="C213" i="1"/>
  <c r="C209" i="1"/>
  <c r="C205" i="1"/>
  <c r="C201" i="1"/>
  <c r="C133" i="1"/>
  <c r="C128" i="1"/>
  <c r="C124" i="1"/>
  <c r="C120" i="1"/>
  <c r="C116" i="1"/>
  <c r="C110" i="1"/>
  <c r="C106" i="1"/>
  <c r="C85" i="1"/>
  <c r="C79" i="1"/>
  <c r="C69" i="1"/>
  <c r="C63" i="1"/>
  <c r="C59" i="1"/>
  <c r="C53" i="1"/>
  <c r="C45" i="1"/>
  <c r="C37" i="1"/>
  <c r="C29" i="1"/>
  <c r="C7" i="1"/>
  <c r="E244" i="1"/>
  <c r="K2" i="1" l="1"/>
</calcChain>
</file>

<file path=xl/sharedStrings.xml><?xml version="1.0" encoding="utf-8"?>
<sst xmlns="http://schemas.openxmlformats.org/spreadsheetml/2006/main" count="2300" uniqueCount="400">
  <si>
    <t>Topic</t>
  </si>
  <si>
    <t>Questions</t>
  </si>
  <si>
    <t>Life</t>
  </si>
  <si>
    <t>Love</t>
  </si>
  <si>
    <t>What is hard about loving others?</t>
  </si>
  <si>
    <t>What do you believe love is?</t>
  </si>
  <si>
    <t>Describe an experience where you received the best love.</t>
  </si>
  <si>
    <t>Describe an experience where love was painful.</t>
  </si>
  <si>
    <t>Do you believe love is all a relationship needs?</t>
  </si>
  <si>
    <t>What is your love language?</t>
  </si>
  <si>
    <t>How does it feel to be loved?</t>
  </si>
  <si>
    <t>How does it feel to love others?</t>
  </si>
  <si>
    <t>What is self-love?</t>
  </si>
  <si>
    <t>Who do you love the most?</t>
  </si>
  <si>
    <t>When is loving most inconvenient?</t>
  </si>
  <si>
    <t>Life Cycle</t>
  </si>
  <si>
    <t>What are the most important things in life?</t>
  </si>
  <si>
    <t>Describe a good life?</t>
  </si>
  <si>
    <t>How has your life been?</t>
  </si>
  <si>
    <t>What has been the best thing that has ever happened to you in your life?</t>
  </si>
  <si>
    <t>Do you love life?</t>
  </si>
  <si>
    <t>Do you have any regrets?</t>
  </si>
  <si>
    <t>What are some things you can do to live a more fulfilling life?</t>
  </si>
  <si>
    <t>What is missing in your life?</t>
  </si>
  <si>
    <t>What is your oldest memory?</t>
  </si>
  <si>
    <t>Death</t>
  </si>
  <si>
    <t>What do you fear about death?</t>
  </si>
  <si>
    <t>How do you cope with the death of a loved one?</t>
  </si>
  <si>
    <t>Describe your ideal death process?</t>
  </si>
  <si>
    <t>How many years would you like to live?</t>
  </si>
  <si>
    <t>What are some things you would like to have achieved before you die?</t>
  </si>
  <si>
    <t>Whose death has brought you the most grief?</t>
  </si>
  <si>
    <t>Aging</t>
  </si>
  <si>
    <t>What is the best thing about aging?</t>
  </si>
  <si>
    <t>How have you aged over the years?</t>
  </si>
  <si>
    <t>What has been the best age in your life?</t>
  </si>
  <si>
    <t>Are you afraid of getting old?</t>
  </si>
  <si>
    <t>What is the hardest thing about aging?</t>
  </si>
  <si>
    <t>How do you feel you have changed through the years?</t>
  </si>
  <si>
    <t>How do you hope to change through aging?</t>
  </si>
  <si>
    <t>Are you happy with your current age?</t>
  </si>
  <si>
    <t>What age do you consider young? Old?</t>
  </si>
  <si>
    <t>What is one quality from your youth you miss the most?</t>
  </si>
  <si>
    <t>Birth</t>
  </si>
  <si>
    <t>What is the most miraculous part about birth?</t>
  </si>
  <si>
    <t>The Universe</t>
  </si>
  <si>
    <t>Nature</t>
  </si>
  <si>
    <t>Do you like the outdoors?</t>
  </si>
  <si>
    <t>Describe your best moment with nature in your life.</t>
  </si>
  <si>
    <t>Describe your ideal outdoor camping experience.</t>
  </si>
  <si>
    <t>Climate</t>
  </si>
  <si>
    <t>What is your favorite season?</t>
  </si>
  <si>
    <t>Describe your perfect yearly weather seasons.</t>
  </si>
  <si>
    <t>Do you like storms?</t>
  </si>
  <si>
    <t>What climate and temperature is perfect to live in? To work in? To sleep in?</t>
  </si>
  <si>
    <t>Do you experience seasonal depression due to climate change?</t>
  </si>
  <si>
    <t>Do you think getting caught in the rain is fun?</t>
  </si>
  <si>
    <t>Describe a memorable experience you’ve had with the weather.</t>
  </si>
  <si>
    <t>Earth</t>
  </si>
  <si>
    <t>Do you believe in recycling?</t>
  </si>
  <si>
    <t>Do you believe in global warming?</t>
  </si>
  <si>
    <t>What is the best way to preserve the earth?</t>
  </si>
  <si>
    <t>Why do you think earth is special?</t>
  </si>
  <si>
    <t>What is the biggest issue affecting the earth?</t>
  </si>
  <si>
    <t>Cosmos</t>
  </si>
  <si>
    <t>Do you believe in aliens?</t>
  </si>
  <si>
    <t>Do you believe there is another life-bearing planet?</t>
  </si>
  <si>
    <t>What is the most awesome thing in the cosmos?</t>
  </si>
  <si>
    <t>Do you believe one day we will inhabit other planets?</t>
  </si>
  <si>
    <t>People</t>
  </si>
  <si>
    <t>Culture</t>
  </si>
  <si>
    <t>What is the condition of humanity right now?</t>
  </si>
  <si>
    <t>Why is there so much variance between peoples?</t>
  </si>
  <si>
    <t>Society</t>
  </si>
  <si>
    <t>Race</t>
  </si>
  <si>
    <t>Ethnicity</t>
  </si>
  <si>
    <t>Language</t>
  </si>
  <si>
    <t>Gender</t>
  </si>
  <si>
    <t>Special Days</t>
  </si>
  <si>
    <t>Celebrations</t>
  </si>
  <si>
    <t>Do you believe in celebrating?</t>
  </si>
  <si>
    <t>Describe a memorable celebration in your life.</t>
  </si>
  <si>
    <t>What things do you do to celebrate?</t>
  </si>
  <si>
    <t>Holidays</t>
  </si>
  <si>
    <t>Birthday</t>
  </si>
  <si>
    <t>Couples Love</t>
  </si>
  <si>
    <t>Communication</t>
  </si>
  <si>
    <t xml:space="preserve">expression, communication, </t>
  </si>
  <si>
    <t>What are your struggles with communication?</t>
  </si>
  <si>
    <t>Describe what effective communication is between couples.</t>
  </si>
  <si>
    <t>How important is communication?</t>
  </si>
  <si>
    <t>Why do misunderstandings happen?</t>
  </si>
  <si>
    <t>Attraction</t>
  </si>
  <si>
    <t>romance, intimacy,</t>
  </si>
  <si>
    <t>How do you define romance?</t>
  </si>
  <si>
    <t>How much romance do you prefer in a relationship?</t>
  </si>
  <si>
    <t>What does it mean to be intimate?</t>
  </si>
  <si>
    <t>Do you have trust issues in being intimate with someone?</t>
  </si>
  <si>
    <t>What things make you feel close to someone?</t>
  </si>
  <si>
    <t>How does being intimate with someone change you?</t>
  </si>
  <si>
    <t>Sex</t>
  </si>
  <si>
    <t>Foreplay, attraction, flirtation, masturbation, intercourse, oral, porn, types, safety, preferences,</t>
  </si>
  <si>
    <t>How much sex do you want?</t>
  </si>
  <si>
    <t>What parts of sex scare you?</t>
  </si>
  <si>
    <t>What things in sex are you uncomfortable with?</t>
  </si>
  <si>
    <t>Are you comfortable being naked?</t>
  </si>
  <si>
    <t>What types of sex excite you?</t>
  </si>
  <si>
    <t>How was sex portrayed to you growing up?</t>
  </si>
  <si>
    <t>How does society depict sex?</t>
  </si>
  <si>
    <t>Do you believe in safe sex?</t>
  </si>
  <si>
    <t>Commitment</t>
  </si>
  <si>
    <t>marriage, divorce, exclusivity,</t>
  </si>
  <si>
    <t>Relationships</t>
  </si>
  <si>
    <t>Friends, lovers, workers, roommates, sex partners,</t>
  </si>
  <si>
    <t>Connection</t>
  </si>
  <si>
    <t>common goal, hobbies, values,</t>
  </si>
  <si>
    <r>
      <t>Relati</t>
    </r>
    <r>
      <rPr>
        <b/>
        <sz val="13"/>
        <color rgb="FF4F81BD"/>
        <rFont val="Cambria"/>
        <family val="1"/>
      </rPr>
      <t>o</t>
    </r>
    <r>
      <rPr>
        <sz val="11"/>
        <color theme="1"/>
        <rFont val="Calibri"/>
        <family val="2"/>
        <scheme val="minor"/>
      </rPr>
      <t>nships</t>
    </r>
  </si>
  <si>
    <t>Friends</t>
  </si>
  <si>
    <t>Communication, activities, values, rules</t>
  </si>
  <si>
    <t>Tell me about your closest friend.</t>
  </si>
  <si>
    <t>What do you consider is a true friend?</t>
  </si>
  <si>
    <t>What do friends do?</t>
  </si>
  <si>
    <t>Describe a time when a friend let you down.</t>
  </si>
  <si>
    <t>How many friends do you want to have in your life?</t>
  </si>
  <si>
    <t>What are some things you want to do with friends more than with a partner?</t>
  </si>
  <si>
    <t>Do you enjoy going on double dates?</t>
  </si>
  <si>
    <t>What things do friends do that can be obnoxious?</t>
  </si>
  <si>
    <t>What is the hardest thing about maintaining friendships?</t>
  </si>
  <si>
    <t>Family</t>
  </si>
  <si>
    <t>Describe your immediate family.</t>
  </si>
  <si>
    <t>What are some good qualities of your family.</t>
  </si>
  <si>
    <t>What are some unhealthy aspects of your family.</t>
  </si>
  <si>
    <t>How much family involvement do you think is ok in a couple’s life?</t>
  </si>
  <si>
    <t>What are your expectations on your partner’s family?</t>
  </si>
  <si>
    <t>How much do you value family?</t>
  </si>
  <si>
    <t>What does a health family look like?</t>
  </si>
  <si>
    <t>What is your favorite family tradition?</t>
  </si>
  <si>
    <t>What are some rules a family should have?</t>
  </si>
  <si>
    <t>Kids</t>
  </si>
  <si>
    <t>Do you want kids? Why or why not?</t>
  </si>
  <si>
    <t>What are some things kids give you?</t>
  </si>
  <si>
    <t>What things do kids do that annoy you?</t>
  </si>
  <si>
    <t>Do you believe kids are innocent?</t>
  </si>
  <si>
    <t>At what age do you believe a child becomes an adult?</t>
  </si>
  <si>
    <t>How was puberty for you?</t>
  </si>
  <si>
    <t>What changed when you went to High School?</t>
  </si>
  <si>
    <t>Partners</t>
  </si>
  <si>
    <t>Strangers</t>
  </si>
  <si>
    <t>Humankind</t>
  </si>
  <si>
    <t>Parenting</t>
  </si>
  <si>
    <t>Coworkers</t>
  </si>
  <si>
    <t>Engagement</t>
  </si>
  <si>
    <r>
      <t xml:space="preserve">Etiquette, </t>
    </r>
    <r>
      <rPr>
        <sz val="11"/>
        <color rgb="FF000000"/>
        <rFont val="Arial"/>
        <family val="2"/>
      </rPr>
      <t>Manners</t>
    </r>
  </si>
  <si>
    <t>Describe your relationship with the earth.</t>
  </si>
  <si>
    <t>Animals/Pets</t>
  </si>
  <si>
    <t>farming, domestication, animal watching,</t>
  </si>
  <si>
    <t>If you could have one exotic pet, what would it be?</t>
  </si>
  <si>
    <t>Do you like animals?</t>
  </si>
  <si>
    <t>Name the top 3 most annoying animals.</t>
  </si>
  <si>
    <t>Self</t>
  </si>
  <si>
    <t>Business</t>
  </si>
  <si>
    <t>Business, economics, money, investing, retirement,</t>
  </si>
  <si>
    <t>Learning</t>
  </si>
  <si>
    <t>Education, school, learning, philosophy</t>
  </si>
  <si>
    <t>Shop</t>
  </si>
  <si>
    <t>Online, selling, thrifting,</t>
  </si>
  <si>
    <t>Work</t>
  </si>
  <si>
    <t>Travel</t>
  </si>
  <si>
    <t>transportation,</t>
  </si>
  <si>
    <t>Home</t>
  </si>
  <si>
    <t>décor, preferences, house types, environment,</t>
  </si>
  <si>
    <t>expression, personality,</t>
  </si>
  <si>
    <t>Personal space &amp; care</t>
  </si>
  <si>
    <t>Hygiene, cleanliness, organization</t>
  </si>
  <si>
    <t>Sleep</t>
  </si>
  <si>
    <t>sleeping, dreaming, nightmares, daydreaming, sleep-walking/talking,</t>
  </si>
  <si>
    <t>Fitness</t>
  </si>
  <si>
    <t>Walking, running, dancing, hiking, yoga, weight training, swimming, martial arts</t>
  </si>
  <si>
    <t>Health</t>
  </si>
  <si>
    <t>mental, physical, emotional, dental, eye, meditation,  exercise, diet, health care, insurance,</t>
  </si>
  <si>
    <t>Food</t>
  </si>
  <si>
    <t>food, drink, alcohol, dining, cooking</t>
  </si>
  <si>
    <t>Hobbies</t>
  </si>
  <si>
    <t>writing, reading, gardening, knitting, woodworking, card games, board games, photography, video, puzzles, fishing, hunting, collecting, cars/motorcycles, comics,</t>
  </si>
  <si>
    <t>Hobbies (categories)</t>
  </si>
  <si>
    <t>Crafts, games, literature, art, entertainment, outdoor, competitive, viewing, creative,</t>
  </si>
  <si>
    <t>Subjects</t>
  </si>
  <si>
    <t>Math, science, history, business, economics</t>
  </si>
  <si>
    <t>Entertainment</t>
  </si>
  <si>
    <t>TV, movies, Video games, social media, radio, podcasts, music</t>
  </si>
  <si>
    <t>Art</t>
  </si>
  <si>
    <t>Acting, Theater, drawing, painting, sculpting, crafting,</t>
  </si>
  <si>
    <t>Fashion</t>
  </si>
  <si>
    <t>tattoos, dress, style, hair style</t>
  </si>
  <si>
    <t>Sports</t>
  </si>
  <si>
    <t>Baseball, rugby/American football, ice hockey, racing, soccer/football, boxing/fighting, tennis, Olympics, cricket, golf, volleyball, field hockey, table tennis,</t>
  </si>
  <si>
    <t>Technology</t>
  </si>
  <si>
    <t>Computers, phones, devices, programing,</t>
  </si>
  <si>
    <t>Values</t>
  </si>
  <si>
    <t>Religion</t>
  </si>
  <si>
    <t>God</t>
  </si>
  <si>
    <t>God, gods, goddesses, Angels, aliens, demons, spirits, ghosts, divinity,</t>
  </si>
  <si>
    <t>Do you believe there is a God?</t>
  </si>
  <si>
    <t>How do you know there is a God?</t>
  </si>
  <si>
    <t>Do you believe God is good? Why?</t>
  </si>
  <si>
    <t>What are some qualities that come to mind when you think about God?</t>
  </si>
  <si>
    <t>Is there only one God?</t>
  </si>
  <si>
    <t>What does God look like?</t>
  </si>
  <si>
    <t>Does God speak? How does God communicate?</t>
  </si>
  <si>
    <t>What is the best thing God has done for you?</t>
  </si>
  <si>
    <t>How do you believe God has failed you?</t>
  </si>
  <si>
    <t>What is God’s purpose or goal?</t>
  </si>
  <si>
    <t>Sin</t>
  </si>
  <si>
    <t>Atonement, forgiveness, punishment, absolution, cause &amp; effect, karma,</t>
  </si>
  <si>
    <t>Is there such a thing as sins?</t>
  </si>
  <si>
    <t>What is your definition of a sin?</t>
  </si>
  <si>
    <t>What is the worst sin?</t>
  </si>
  <si>
    <t>Do you believe sins can be erased? How?</t>
  </si>
  <si>
    <t>Finality</t>
  </si>
  <si>
    <t>Heaven, hell, purgatory, eternity, time, life, death, final judgment,</t>
  </si>
  <si>
    <t>What are your thoughts about heaven?</t>
  </si>
  <si>
    <t>Is there a hell?</t>
  </si>
  <si>
    <t>Describe the afterlife.</t>
  </si>
  <si>
    <t>What is this life for?</t>
  </si>
  <si>
    <t>Do you believe death is final?</t>
  </si>
  <si>
    <t>Morality</t>
  </si>
  <si>
    <t>Good, evil, right, wrong, light, dark, justice, conduct, etiquette, manners,</t>
  </si>
  <si>
    <t>Why is there evil in the world?</t>
  </si>
  <si>
    <t>What are some of the greatest moral persons who ever lived?</t>
  </si>
  <si>
    <t>Describe your definition of good.</t>
  </si>
  <si>
    <t>Describe your definition of evil.</t>
  </si>
  <si>
    <t>Describe the perfect human.</t>
  </si>
  <si>
    <t>What is the cure for humanity?</t>
  </si>
  <si>
    <t>What makes you a good person?</t>
  </si>
  <si>
    <t>Human Qualities</t>
  </si>
  <si>
    <t>Love/hate, joy/sadness, peace/strife, humility/pride, compassion/coldness, empathy/indifference, wisdom/stupidity, knowledge/ignorance, understanding/inexperience, honesty/dishonesty, integrity/unscrupulousness, courage/cowardice, passion/apathy, perseverance/defeatism, patience/impatience, gracious/rude, optimism/pessimism, emotionally healthy/unhealthy, mentally healthy/unhealthy, physically healthy/unhealthy, selflessness/egocentrism, generosity/frugalness, trusting/suspicious, faith/fear, calmness/anger, caring/neglectfulness</t>
  </si>
  <si>
    <t>What is the purpose of faith in life?</t>
  </si>
  <si>
    <t>What is the greatest quality of humankind?</t>
  </si>
  <si>
    <t>Humanness</t>
  </si>
  <si>
    <t>Humanity, genetics, biology, sociality, economics, Life purpose, spirit, soul, body, emotions, intellect,</t>
  </si>
  <si>
    <t>Why are humans distinct from other life forms?</t>
  </si>
  <si>
    <t>Do you believe humans are divine?</t>
  </si>
  <si>
    <t>Do you believe in ghosts or spirits?</t>
  </si>
  <si>
    <t>Do you believe there is a spirit world?</t>
  </si>
  <si>
    <t>Organized religion</t>
  </si>
  <si>
    <t>Christianity, Islam, Buddhism, Hinduism, Catholicism, Mormonism, Nonreligious,</t>
  </si>
  <si>
    <t>What is the purpose of a church?</t>
  </si>
  <si>
    <t>Do you think all people should be of one religion?</t>
  </si>
  <si>
    <t>Why are there so many religions?</t>
  </si>
  <si>
    <t>What is at fault with organized religion?</t>
  </si>
  <si>
    <t>What good is religion?</t>
  </si>
  <si>
    <t>What religion did you grow up in?</t>
  </si>
  <si>
    <t>What is the weirdest religion?</t>
  </si>
  <si>
    <t>How do you define a cult?</t>
  </si>
  <si>
    <t>Why do you think people leave a particular religion?</t>
  </si>
  <si>
    <t>Tenants</t>
  </si>
  <si>
    <t>Worship, prayer, learning, transformation, sainthood, clergy, law, ethics, morality, hierarchy,</t>
  </si>
  <si>
    <t>Objects</t>
  </si>
  <si>
    <t>Churches, mosques, monasteries, temples, relics</t>
  </si>
  <si>
    <t>Written texts</t>
  </si>
  <si>
    <t>Bible, Koran, Book of Mormon</t>
  </si>
  <si>
    <t>Science/Creation</t>
  </si>
  <si>
    <t>How did the universe begin?</t>
  </si>
  <si>
    <t>Is earth special?</t>
  </si>
  <si>
    <t>What are your thoughts about science?</t>
  </si>
  <si>
    <t>Do you believe in evolution?</t>
  </si>
  <si>
    <t>Do you believe you are or have a spirit?</t>
  </si>
  <si>
    <t>What do you believe about the free will of humans?</t>
  </si>
  <si>
    <t>Have you ever had a unique divine experience?</t>
  </si>
  <si>
    <t>What is your hope in life?</t>
  </si>
  <si>
    <t>Government</t>
  </si>
  <si>
    <t>Legislature</t>
  </si>
  <si>
    <t>Rights, laws, voting,</t>
  </si>
  <si>
    <t>Leadership</t>
  </si>
  <si>
    <t>Hierarchy, division of power, voting, leaders,</t>
  </si>
  <si>
    <t>Defense</t>
  </si>
  <si>
    <t>Military,</t>
  </si>
  <si>
    <t>Economy</t>
  </si>
  <si>
    <t>Foreign policy, aid, budgets, debt, economy,</t>
  </si>
  <si>
    <t>Judicial</t>
  </si>
  <si>
    <t>Courts, lawyers, state defense,</t>
  </si>
  <si>
    <t>Enforcement</t>
  </si>
  <si>
    <t>law enforcement, jails, prison, correctional officers,</t>
  </si>
  <si>
    <t>Types</t>
  </si>
  <si>
    <t>Democracy, Dictatorship/Totalitarianism/Authoritarian, communism/socialism/capitalism, monarchism,</t>
  </si>
  <si>
    <t>Cat #</t>
  </si>
  <si>
    <t>Topic #</t>
  </si>
  <si>
    <t>Sub</t>
  </si>
  <si>
    <t>Sub #</t>
  </si>
  <si>
    <t>Cat</t>
  </si>
  <si>
    <t>Conversations</t>
  </si>
  <si>
    <t>Spacer</t>
  </si>
  <si>
    <t>Code Entry</t>
  </si>
  <si>
    <t>Code Entry (String)</t>
  </si>
  <si>
    <t>Code Entry (Item)</t>
  </si>
  <si>
    <t>Concepts</t>
  </si>
  <si>
    <t>Random Word</t>
  </si>
  <si>
    <t>Topics</t>
  </si>
  <si>
    <t>Dates &amp; Fun</t>
  </si>
  <si>
    <t>Intimacy</t>
  </si>
  <si>
    <t>Sensual</t>
  </si>
  <si>
    <t>Fun</t>
  </si>
  <si>
    <t>Dates</t>
  </si>
  <si>
    <t>Romantic Dates</t>
  </si>
  <si>
    <t>Feelings</t>
  </si>
  <si>
    <t>Contrast</t>
  </si>
  <si>
    <t>Complaints</t>
  </si>
  <si>
    <t>Love Language</t>
  </si>
  <si>
    <t>Trauma</t>
  </si>
  <si>
    <t>Childhood</t>
  </si>
  <si>
    <t>Affirmations</t>
  </si>
  <si>
    <t>Needs</t>
  </si>
  <si>
    <t>Romance</t>
  </si>
  <si>
    <t>Flirtations</t>
  </si>
  <si>
    <t>Foreplay</t>
  </si>
  <si>
    <t>Question</t>
  </si>
  <si>
    <t>What should be celebrated in this life?</t>
  </si>
  <si>
    <t>Are feelings of intimacy necessary for sex?</t>
  </si>
  <si>
    <t>Describe your life in one word.</t>
  </si>
  <si>
    <t>At what point has your life taken a sharp turn?</t>
  </si>
  <si>
    <t>F</t>
  </si>
  <si>
    <t>How do you like to express yourself?</t>
  </si>
  <si>
    <t>What happens when couples stop talking about things?</t>
  </si>
  <si>
    <t>What is the most romantic thing someone has done for you?</t>
  </si>
  <si>
    <t>How does intimacy change you or the dynamic of your relationship?</t>
  </si>
  <si>
    <t>What are some qualities that friendship should have?</t>
  </si>
  <si>
    <t>How much foreplay do you prefer?</t>
  </si>
  <si>
    <t>What things accelerate your sexual appetite?</t>
  </si>
  <si>
    <t>What things put the brakes on your sexual appetite?</t>
  </si>
  <si>
    <t>Is masturbating alone ok with you in a relationship?</t>
  </si>
  <si>
    <t>How do you like to masturbate?</t>
  </si>
  <si>
    <t>What do you fantasize about?</t>
  </si>
  <si>
    <t>Foreplay, attraction, flirtation, fantasy, masturbation, intercourse, oral, porn, types, safety, preferences,</t>
  </si>
  <si>
    <t>What do you think about during sex?</t>
  </si>
  <si>
    <t>Do you like it when your partner flirts with you?</t>
  </si>
  <si>
    <t>What sex positions excite you?</t>
  </si>
  <si>
    <t>How do you feel about pornography?</t>
  </si>
  <si>
    <t>Where are some kinky places to have sex?</t>
  </si>
  <si>
    <t>What attire turns you on?</t>
  </si>
  <si>
    <t>What sex toys do you like?</t>
  </si>
  <si>
    <t>How do you feel when you don't get enough sex?</t>
  </si>
  <si>
    <t>What are your craziest sex thoughts or ideas?</t>
  </si>
  <si>
    <t>Tags</t>
  </si>
  <si>
    <t>What is the coolest animal?</t>
  </si>
  <si>
    <t>What is your favorite pet?</t>
  </si>
  <si>
    <t>How many pets would you like to have?</t>
  </si>
  <si>
    <t>What is a hopeless situation?</t>
  </si>
  <si>
    <t>What is an absolute truth?</t>
  </si>
  <si>
    <t>How do you feel about the domestication of animals?</t>
  </si>
  <si>
    <t>What is the scariest animal?</t>
  </si>
  <si>
    <t>How do you feel about liter?</t>
  </si>
  <si>
    <t>Would you ever want to breed animals?</t>
  </si>
  <si>
    <t xml:space="preserve">Business, economics, money, investing, retirement, </t>
  </si>
  <si>
    <t xml:space="preserve">Online, selling, thrifting, </t>
  </si>
  <si>
    <r>
      <t>Relati</t>
    </r>
    <r>
      <rPr>
        <b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>nships</t>
    </r>
  </si>
  <si>
    <t>Written Texts</t>
  </si>
  <si>
    <t>What is a business you would like to run?</t>
  </si>
  <si>
    <t>What is good business?</t>
  </si>
  <si>
    <t>How much money do you like to save?</t>
  </si>
  <si>
    <t>How do you like to invest your money?</t>
  </si>
  <si>
    <t>What do you think of today's market and economy?</t>
  </si>
  <si>
    <t>How much money would you like to have for your retirement?</t>
  </si>
  <si>
    <t>Where do you don't mind to spend a lot of money?</t>
  </si>
  <si>
    <t>What areas are you thrifty in?</t>
  </si>
  <si>
    <t>Do you believe in budgeting your money?</t>
  </si>
  <si>
    <t>What charities do you support?</t>
  </si>
  <si>
    <t>Do you believe couples should share money accounts?</t>
  </si>
  <si>
    <t>Explain your ideal budget.</t>
  </si>
  <si>
    <t>What would you do if you inherited a million dollars? A billion?</t>
  </si>
  <si>
    <t>What do you believe is something every rich person should do?</t>
  </si>
  <si>
    <t>What is poverty?</t>
  </si>
  <si>
    <t>Could you live poor for a year if you had to?</t>
  </si>
  <si>
    <t>Shopping</t>
  </si>
  <si>
    <t>Do you like to shop?</t>
  </si>
  <si>
    <t>Do you like to sell your stuff, donate, or throw them away?</t>
  </si>
  <si>
    <t>What is your favorite store to shop?</t>
  </si>
  <si>
    <t>How do you feel about online shopping?</t>
  </si>
  <si>
    <t>Work, career, hours, benefits, interaction</t>
  </si>
  <si>
    <t>Do you prefer to work alone?</t>
  </si>
  <si>
    <t>What are your ideal house to work?</t>
  </si>
  <si>
    <t>Are you happy with your current career?</t>
  </si>
  <si>
    <t>What is the best job you've ever had?</t>
  </si>
  <si>
    <t>What is your dream job?</t>
  </si>
  <si>
    <t>What are good benefits from an employer?</t>
  </si>
  <si>
    <t>Would you like to work from home?</t>
  </si>
  <si>
    <t>Do you prefer a desk job or a physically active job?</t>
  </si>
  <si>
    <t>When do you think you will retire?</t>
  </si>
  <si>
    <t>Vacation, transportation,</t>
  </si>
  <si>
    <t>Do you like to fly?</t>
  </si>
  <si>
    <t>Where do you like to vacation?</t>
  </si>
  <si>
    <t>What are your vacation habbits?</t>
  </si>
  <si>
    <t>Have you ever been on a road trip?</t>
  </si>
  <si>
    <t>Do you like to travel light?</t>
  </si>
  <si>
    <t>Describe your dream vacation.</t>
  </si>
  <si>
    <t>What is the worst part about vactioning?</t>
  </si>
  <si>
    <t>How often do you want to vaction?</t>
  </si>
  <si>
    <t>How do you feel about a train ride? A boat ride?</t>
  </si>
  <si>
    <t>Do you like to travel with kids? Pets?</t>
  </si>
  <si>
    <t>What is your best vacation memory?</t>
  </si>
  <si>
    <t>Décor, preferences, house types, environment,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</si>
</sst>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3"/>
      <color rgb="FF4F81BD"/>
      <name val="Cambria"/>
      <family val="1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1" fillId="2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0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49" fontId="1" fillId="2" borderId="0" xfId="0" applyNumberFormat="1" applyFont="1" applyFill="1" applyBorder="1" applyAlignment="1">
      <alignment horizontal="left" vertical="top" wrapText="1"/>
    </xf>
    <xf numFmtId="49" fontId="3" fillId="0" borderId="0" xfId="0" applyNumberFormat="1" applyFont="1" applyBorder="1" applyAlignment="1">
      <alignment vertical="center" wrapText="1"/>
    </xf>
    <xf numFmtId="49" fontId="0" fillId="0" borderId="0" xfId="0" applyNumberFormat="1"/>
    <xf numFmtId="0" fontId="0" fillId="0" borderId="0" xfId="0" applyFill="1" applyBorder="1" applyAlignment="1">
      <alignment vertical="center" wrapText="1"/>
    </xf>
    <xf numFmtId="0" fontId="1" fillId="2" borderId="0" xfId="0" applyFont="1" applyFill="1" applyBorder="1" applyAlignment="1">
      <alignment horizontal="left" wrapText="1"/>
    </xf>
    <xf numFmtId="49" fontId="0" fillId="0" borderId="0" xfId="0" applyNumberFormat="1" applyFont="1" applyBorder="1" applyAlignment="1">
      <alignment vertical="center" wrapText="1"/>
    </xf>
    <xf numFmtId="0" fontId="0" fillId="0" borderId="0" xfId="0" applyAlignment="1"/>
    <xf numFmtId="0" fontId="3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 wrapText="1"/>
    </xf>
    <xf numFmtId="0" fontId="6" fillId="2" borderId="0" xfId="0" applyFont="1" applyFill="1" applyBorder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6" fillId="2" borderId="0" xfId="0" applyFont="1" applyFill="1" applyBorder="1" applyAlignment="1">
      <alignment horizontal="left" vertical="top"/>
    </xf>
  </cellXfs>
  <cellStyles count="1">
    <cellStyle name="Normal" xfId="0" builtinId="0"/>
  </cellStyles>
  <dxfs count="19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904875</xdr:colOff>
          <xdr:row>0</xdr:row>
          <xdr:rowOff>9525</xdr:rowOff>
        </xdr:from>
        <xdr:to>
          <xdr:col>8</xdr:col>
          <xdr:colOff>2590800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3152775</xdr:colOff>
          <xdr:row>0</xdr:row>
          <xdr:rowOff>9525</xdr:rowOff>
        </xdr:from>
        <xdr:to>
          <xdr:col>8</xdr:col>
          <xdr:colOff>4781550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Code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4943475</xdr:colOff>
          <xdr:row>0</xdr:row>
          <xdr:rowOff>19050</xdr:rowOff>
        </xdr:from>
        <xdr:to>
          <xdr:col>8</xdr:col>
          <xdr:colOff>6524625</xdr:colOff>
          <xdr:row>0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585"/>
  <sheetViews>
    <sheetView tabSelected="1" workbookViewId="0">
      <pane ySplit="1" topLeftCell="A161" activePane="bottomLeft" state="frozen"/>
      <selection pane="bottomLeft" activeCell="I182" sqref="I182"/>
    </sheetView>
  </sheetViews>
  <sheetFormatPr defaultRowHeight="15" x14ac:dyDescent="0.25"/>
  <cols>
    <col min="1" max="1" width="2.7109375" customWidth="1"/>
    <col min="2" max="2" width="14.28515625" customWidth="1"/>
    <col min="3" max="3" width="7.42578125" style="7" bestFit="1" customWidth="1"/>
    <col min="4" max="4" width="13.42578125" bestFit="1" customWidth="1"/>
    <col min="5" max="5" width="7.85546875" style="7" bestFit="1" customWidth="1"/>
    <col min="6" max="6" width="18.140625" bestFit="1" customWidth="1"/>
    <col min="7" max="7" width="9.85546875" style="7" bestFit="1" customWidth="1"/>
    <col min="8" max="8" width="28.85546875" style="16" customWidth="1"/>
    <col min="9" max="9" width="100.140625" customWidth="1"/>
    <col min="10" max="10" width="29" customWidth="1"/>
    <col min="11" max="11" width="105" customWidth="1"/>
    <col min="12" max="12" width="6.7109375" customWidth="1"/>
    <col min="13" max="13" width="1.5703125" bestFit="1" customWidth="1"/>
    <col min="14" max="14" width="6" customWidth="1"/>
    <col min="15" max="15" width="1.5703125" bestFit="1" customWidth="1"/>
    <col min="16" max="16" width="5.140625" customWidth="1"/>
    <col min="17" max="17" width="1.5703125" bestFit="1" customWidth="1"/>
    <col min="18" max="18" width="5.42578125" customWidth="1"/>
    <col min="19" max="19" width="1.5703125" bestFit="1" customWidth="1"/>
    <col min="20" max="20" width="1.85546875" bestFit="1" customWidth="1"/>
    <col min="21" max="21" width="19.5703125" customWidth="1"/>
    <col min="22" max="22" width="5.140625" customWidth="1"/>
  </cols>
  <sheetData>
    <row r="1" spans="1:11" ht="22.5" customHeight="1" x14ac:dyDescent="0.25">
      <c r="A1" s="19" t="s">
        <v>320</v>
      </c>
      <c r="B1" s="19" t="s">
        <v>289</v>
      </c>
      <c r="C1" s="19" t="s">
        <v>285</v>
      </c>
      <c r="D1" s="19" t="s">
        <v>287</v>
      </c>
      <c r="E1" s="19" t="s">
        <v>288</v>
      </c>
      <c r="F1" s="19" t="s">
        <v>0</v>
      </c>
      <c r="G1" s="19" t="s">
        <v>286</v>
      </c>
      <c r="H1" s="25" t="s">
        <v>295</v>
      </c>
      <c r="I1" s="19" t="s">
        <v>315</v>
      </c>
      <c r="J1" s="19" t="s">
        <v>342</v>
      </c>
      <c r="K1" s="19" t="s">
        <v>292</v>
      </c>
    </row>
    <row r="2" spans="1:11" x14ac:dyDescent="0.25">
      <c r="A2" s="20">
        <f t="shared" ref="A2:A65" si="0">IF(F2&lt;&gt;F1,IF(A1=0,1,0),A1)</f>
        <v>0</v>
      </c>
      <c r="B2" s="21" t="s">
        <v>1</v>
      </c>
      <c r="C2" s="21">
        <f t="shared" ref="C2:C36" si="1">VLOOKUP(B2, Categories, 2, FALSE)</f>
        <v>2</v>
      </c>
      <c r="D2" s="21" t="s">
        <v>2</v>
      </c>
      <c r="E2" s="21">
        <f t="shared" ref="E2:E36" si="2">VLOOKUP(D2,Subcategories, 2, FALSE)</f>
        <v>0</v>
      </c>
      <c r="F2" s="21" t="s">
        <v>3</v>
      </c>
      <c r="G2" s="21">
        <f t="shared" ref="G2:G36" si="3">VLOOKUP(F2,Topics, 2, FALSE)</f>
        <v>0</v>
      </c>
      <c r="H2" s="22"/>
      <c r="I2" s="8" t="s">
        <v>4</v>
      </c>
      <c r="J2" s="20"/>
      <c r="K2" s="20" t="str">
        <f>("list.add(EntityQuestion("&amp;ROW(K2)-2)&amp;","&amp;C2&amp;","&amp;E2&amp;","&amp;G2&amp;","""&amp;I2&amp;"""))"</f>
        <v>list.add(EntityQuestion(0,2,0,0,"What is hard about loving others?"))</v>
      </c>
    </row>
    <row r="3" spans="1:11" x14ac:dyDescent="0.25">
      <c r="A3" s="20">
        <f t="shared" si="0"/>
        <v>0</v>
      </c>
      <c r="B3" s="21" t="s">
        <v>1</v>
      </c>
      <c r="C3" s="21">
        <f t="shared" si="1"/>
        <v>2</v>
      </c>
      <c r="D3" s="21" t="s">
        <v>2</v>
      </c>
      <c r="E3" s="21">
        <f t="shared" si="2"/>
        <v>0</v>
      </c>
      <c r="F3" s="21" t="s">
        <v>3</v>
      </c>
      <c r="G3" s="21">
        <f t="shared" si="3"/>
        <v>0</v>
      </c>
      <c r="H3" s="22"/>
      <c r="I3" s="8" t="s">
        <v>5</v>
      </c>
      <c r="J3" s="20"/>
      <c r="K3" s="20"/>
    </row>
    <row r="4" spans="1:11" x14ac:dyDescent="0.25">
      <c r="A4" s="20">
        <f t="shared" si="0"/>
        <v>0</v>
      </c>
      <c r="B4" s="21" t="s">
        <v>1</v>
      </c>
      <c r="C4" s="21">
        <f t="shared" si="1"/>
        <v>2</v>
      </c>
      <c r="D4" s="21" t="s">
        <v>2</v>
      </c>
      <c r="E4" s="21">
        <f t="shared" si="2"/>
        <v>0</v>
      </c>
      <c r="F4" s="21" t="s">
        <v>3</v>
      </c>
      <c r="G4" s="21">
        <f t="shared" si="3"/>
        <v>0</v>
      </c>
      <c r="H4" s="22"/>
      <c r="I4" s="8" t="s">
        <v>6</v>
      </c>
      <c r="J4" s="20"/>
      <c r="K4" s="20"/>
    </row>
    <row r="5" spans="1:11" x14ac:dyDescent="0.25">
      <c r="A5" s="20">
        <f t="shared" si="0"/>
        <v>0</v>
      </c>
      <c r="B5" s="21" t="s">
        <v>1</v>
      </c>
      <c r="C5" s="21">
        <f t="shared" si="1"/>
        <v>2</v>
      </c>
      <c r="D5" s="21" t="s">
        <v>2</v>
      </c>
      <c r="E5" s="21">
        <f t="shared" si="2"/>
        <v>0</v>
      </c>
      <c r="F5" s="21" t="s">
        <v>3</v>
      </c>
      <c r="G5" s="21">
        <f t="shared" si="3"/>
        <v>0</v>
      </c>
      <c r="H5" s="22"/>
      <c r="I5" s="21" t="s">
        <v>7</v>
      </c>
      <c r="J5" s="20"/>
      <c r="K5" s="20"/>
    </row>
    <row r="6" spans="1:11" x14ac:dyDescent="0.25">
      <c r="A6" s="20">
        <f t="shared" si="0"/>
        <v>0</v>
      </c>
      <c r="B6" s="21" t="s">
        <v>1</v>
      </c>
      <c r="C6" s="21">
        <f t="shared" ref="C6" si="4">VLOOKUP(B6, Categories, 2, FALSE)</f>
        <v>2</v>
      </c>
      <c r="D6" s="21" t="s">
        <v>2</v>
      </c>
      <c r="E6" s="21">
        <f t="shared" ref="E6" si="5">VLOOKUP(D6,Subcategories, 2, FALSE)</f>
        <v>0</v>
      </c>
      <c r="F6" s="21" t="s">
        <v>3</v>
      </c>
      <c r="G6" s="21">
        <f t="shared" ref="G6" si="6">VLOOKUP(F6,Topics, 2, FALSE)</f>
        <v>0</v>
      </c>
      <c r="H6" s="22"/>
      <c r="I6" s="21" t="s">
        <v>8</v>
      </c>
      <c r="J6" s="20"/>
      <c r="K6" s="20"/>
    </row>
    <row r="7" spans="1:11" x14ac:dyDescent="0.25">
      <c r="A7" s="20">
        <f t="shared" si="0"/>
        <v>0</v>
      </c>
      <c r="B7" s="21" t="s">
        <v>1</v>
      </c>
      <c r="C7" s="21">
        <f t="shared" si="1"/>
        <v>2</v>
      </c>
      <c r="D7" s="21" t="s">
        <v>2</v>
      </c>
      <c r="E7" s="21">
        <f t="shared" si="2"/>
        <v>0</v>
      </c>
      <c r="F7" s="21" t="s">
        <v>3</v>
      </c>
      <c r="G7" s="21">
        <f t="shared" si="3"/>
        <v>0</v>
      </c>
      <c r="H7" s="22"/>
      <c r="I7" s="21" t="s">
        <v>9</v>
      </c>
      <c r="J7" s="20"/>
      <c r="K7" s="20"/>
    </row>
    <row r="8" spans="1:11" x14ac:dyDescent="0.25">
      <c r="A8" s="20">
        <f t="shared" si="0"/>
        <v>0</v>
      </c>
      <c r="B8" s="21" t="s">
        <v>1</v>
      </c>
      <c r="C8" s="21">
        <f t="shared" si="1"/>
        <v>2</v>
      </c>
      <c r="D8" s="21" t="s">
        <v>2</v>
      </c>
      <c r="E8" s="21">
        <f t="shared" si="2"/>
        <v>0</v>
      </c>
      <c r="F8" s="21" t="s">
        <v>3</v>
      </c>
      <c r="G8" s="21">
        <f t="shared" si="3"/>
        <v>0</v>
      </c>
      <c r="H8" s="22"/>
      <c r="I8" s="21" t="s">
        <v>10</v>
      </c>
      <c r="J8" s="20"/>
      <c r="K8" s="20"/>
    </row>
    <row r="9" spans="1:11" x14ac:dyDescent="0.25">
      <c r="A9" s="20">
        <f t="shared" si="0"/>
        <v>0</v>
      </c>
      <c r="B9" s="21" t="s">
        <v>1</v>
      </c>
      <c r="C9" s="21">
        <f t="shared" si="1"/>
        <v>2</v>
      </c>
      <c r="D9" s="21" t="s">
        <v>2</v>
      </c>
      <c r="E9" s="21">
        <f t="shared" si="2"/>
        <v>0</v>
      </c>
      <c r="F9" s="21" t="s">
        <v>3</v>
      </c>
      <c r="G9" s="21">
        <f t="shared" si="3"/>
        <v>0</v>
      </c>
      <c r="H9" s="22"/>
      <c r="I9" s="21" t="s">
        <v>11</v>
      </c>
      <c r="J9" s="20"/>
      <c r="K9" s="20"/>
    </row>
    <row r="10" spans="1:11" x14ac:dyDescent="0.25">
      <c r="A10" s="20">
        <f t="shared" si="0"/>
        <v>0</v>
      </c>
      <c r="B10" s="21" t="s">
        <v>1</v>
      </c>
      <c r="C10" s="21">
        <f t="shared" si="1"/>
        <v>2</v>
      </c>
      <c r="D10" s="21" t="s">
        <v>2</v>
      </c>
      <c r="E10" s="21">
        <f t="shared" si="2"/>
        <v>0</v>
      </c>
      <c r="F10" s="21" t="s">
        <v>3</v>
      </c>
      <c r="G10" s="21">
        <f t="shared" si="3"/>
        <v>0</v>
      </c>
      <c r="H10" s="22"/>
      <c r="I10" s="21" t="s">
        <v>12</v>
      </c>
      <c r="J10" s="20"/>
      <c r="K10" s="20"/>
    </row>
    <row r="11" spans="1:11" x14ac:dyDescent="0.25">
      <c r="A11" s="20">
        <f t="shared" si="0"/>
        <v>0</v>
      </c>
      <c r="B11" s="21" t="s">
        <v>1</v>
      </c>
      <c r="C11" s="21">
        <f t="shared" si="1"/>
        <v>2</v>
      </c>
      <c r="D11" s="21" t="s">
        <v>2</v>
      </c>
      <c r="E11" s="21">
        <f t="shared" si="2"/>
        <v>0</v>
      </c>
      <c r="F11" s="21" t="s">
        <v>3</v>
      </c>
      <c r="G11" s="21">
        <f t="shared" si="3"/>
        <v>0</v>
      </c>
      <c r="H11" s="22"/>
      <c r="I11" s="21" t="s">
        <v>13</v>
      </c>
      <c r="J11" s="20"/>
      <c r="K11" s="20"/>
    </row>
    <row r="12" spans="1:11" x14ac:dyDescent="0.25">
      <c r="A12" s="20">
        <f t="shared" si="0"/>
        <v>0</v>
      </c>
      <c r="B12" s="21" t="s">
        <v>1</v>
      </c>
      <c r="C12" s="21">
        <f t="shared" si="1"/>
        <v>2</v>
      </c>
      <c r="D12" s="21" t="s">
        <v>2</v>
      </c>
      <c r="E12" s="21">
        <f t="shared" si="2"/>
        <v>0</v>
      </c>
      <c r="F12" s="21" t="s">
        <v>3</v>
      </c>
      <c r="G12" s="21">
        <f t="shared" si="3"/>
        <v>0</v>
      </c>
      <c r="H12" s="22"/>
      <c r="I12" s="21" t="s">
        <v>14</v>
      </c>
      <c r="J12" s="20"/>
      <c r="K12" s="20"/>
    </row>
    <row r="13" spans="1:11" x14ac:dyDescent="0.25">
      <c r="A13" s="20">
        <f t="shared" si="0"/>
        <v>1</v>
      </c>
      <c r="B13" s="21" t="s">
        <v>1</v>
      </c>
      <c r="C13" s="21">
        <f t="shared" si="1"/>
        <v>2</v>
      </c>
      <c r="D13" s="21" t="s">
        <v>2</v>
      </c>
      <c r="E13" s="21">
        <f t="shared" si="2"/>
        <v>0</v>
      </c>
      <c r="F13" s="21" t="s">
        <v>15</v>
      </c>
      <c r="G13" s="21">
        <f t="shared" si="3"/>
        <v>1</v>
      </c>
      <c r="H13" s="22" t="s">
        <v>2</v>
      </c>
      <c r="I13" s="8" t="s">
        <v>16</v>
      </c>
      <c r="J13" s="20"/>
      <c r="K13" s="20"/>
    </row>
    <row r="14" spans="1:11" x14ac:dyDescent="0.25">
      <c r="A14" s="20">
        <f t="shared" si="0"/>
        <v>1</v>
      </c>
      <c r="B14" s="21" t="s">
        <v>1</v>
      </c>
      <c r="C14" s="21">
        <f t="shared" si="1"/>
        <v>2</v>
      </c>
      <c r="D14" s="21" t="s">
        <v>2</v>
      </c>
      <c r="E14" s="21">
        <f t="shared" si="2"/>
        <v>0</v>
      </c>
      <c r="F14" s="21" t="s">
        <v>15</v>
      </c>
      <c r="G14" s="21">
        <f t="shared" si="3"/>
        <v>1</v>
      </c>
      <c r="H14" s="22" t="s">
        <v>2</v>
      </c>
      <c r="I14" s="8" t="s">
        <v>17</v>
      </c>
      <c r="J14" s="20"/>
      <c r="K14" s="20"/>
    </row>
    <row r="15" spans="1:11" x14ac:dyDescent="0.25">
      <c r="A15" s="20">
        <f t="shared" si="0"/>
        <v>1</v>
      </c>
      <c r="B15" s="21" t="s">
        <v>1</v>
      </c>
      <c r="C15" s="21">
        <f t="shared" ref="C15" si="7">VLOOKUP(B15, Categories, 2, FALSE)</f>
        <v>2</v>
      </c>
      <c r="D15" s="21" t="s">
        <v>2</v>
      </c>
      <c r="E15" s="21">
        <f t="shared" ref="E15" si="8">VLOOKUP(D15,Subcategories, 2, FALSE)</f>
        <v>0</v>
      </c>
      <c r="F15" s="21" t="s">
        <v>15</v>
      </c>
      <c r="G15" s="21">
        <f t="shared" ref="G15" si="9">VLOOKUP(F15,Topics, 2, FALSE)</f>
        <v>1</v>
      </c>
      <c r="H15" s="22" t="s">
        <v>2</v>
      </c>
      <c r="I15" s="8" t="s">
        <v>18</v>
      </c>
      <c r="J15" s="20"/>
      <c r="K15" s="20"/>
    </row>
    <row r="16" spans="1:11" x14ac:dyDescent="0.25">
      <c r="A16" s="20">
        <f t="shared" si="0"/>
        <v>1</v>
      </c>
      <c r="B16" s="21" t="s">
        <v>1</v>
      </c>
      <c r="C16" s="21">
        <f t="shared" si="1"/>
        <v>2</v>
      </c>
      <c r="D16" s="21" t="s">
        <v>2</v>
      </c>
      <c r="E16" s="21">
        <f t="shared" si="2"/>
        <v>0</v>
      </c>
      <c r="F16" s="21" t="s">
        <v>15</v>
      </c>
      <c r="G16" s="21">
        <f t="shared" si="3"/>
        <v>1</v>
      </c>
      <c r="H16" s="22" t="s">
        <v>2</v>
      </c>
      <c r="I16" s="8" t="s">
        <v>19</v>
      </c>
      <c r="J16" s="20"/>
      <c r="K16" s="20"/>
    </row>
    <row r="17" spans="1:11" x14ac:dyDescent="0.25">
      <c r="A17" s="20">
        <f t="shared" si="0"/>
        <v>1</v>
      </c>
      <c r="B17" s="21" t="s">
        <v>1</v>
      </c>
      <c r="C17" s="21">
        <f t="shared" si="1"/>
        <v>2</v>
      </c>
      <c r="D17" s="21" t="s">
        <v>2</v>
      </c>
      <c r="E17" s="21">
        <f t="shared" si="2"/>
        <v>0</v>
      </c>
      <c r="F17" s="21" t="s">
        <v>15</v>
      </c>
      <c r="G17" s="21">
        <f t="shared" si="3"/>
        <v>1</v>
      </c>
      <c r="H17" s="22" t="s">
        <v>2</v>
      </c>
      <c r="I17" s="8" t="s">
        <v>20</v>
      </c>
      <c r="J17" s="20"/>
      <c r="K17" s="20"/>
    </row>
    <row r="18" spans="1:11" x14ac:dyDescent="0.25">
      <c r="A18" s="20">
        <f t="shared" si="0"/>
        <v>1</v>
      </c>
      <c r="B18" s="21" t="s">
        <v>1</v>
      </c>
      <c r="C18" s="21">
        <f t="shared" si="1"/>
        <v>2</v>
      </c>
      <c r="D18" s="21" t="s">
        <v>2</v>
      </c>
      <c r="E18" s="21">
        <f t="shared" si="2"/>
        <v>0</v>
      </c>
      <c r="F18" s="21" t="s">
        <v>15</v>
      </c>
      <c r="G18" s="21">
        <f t="shared" si="3"/>
        <v>1</v>
      </c>
      <c r="H18" s="22" t="s">
        <v>2</v>
      </c>
      <c r="I18" s="8" t="s">
        <v>21</v>
      </c>
      <c r="J18" s="20"/>
      <c r="K18" s="20"/>
    </row>
    <row r="19" spans="1:11" x14ac:dyDescent="0.25">
      <c r="A19" s="20">
        <f t="shared" si="0"/>
        <v>1</v>
      </c>
      <c r="B19" s="21" t="s">
        <v>1</v>
      </c>
      <c r="C19" s="21">
        <f t="shared" si="1"/>
        <v>2</v>
      </c>
      <c r="D19" s="21" t="s">
        <v>2</v>
      </c>
      <c r="E19" s="21">
        <f t="shared" si="2"/>
        <v>0</v>
      </c>
      <c r="F19" s="21" t="s">
        <v>15</v>
      </c>
      <c r="G19" s="21">
        <f t="shared" si="3"/>
        <v>1</v>
      </c>
      <c r="H19" s="22" t="s">
        <v>2</v>
      </c>
      <c r="I19" s="21" t="s">
        <v>22</v>
      </c>
      <c r="J19" s="20"/>
      <c r="K19" s="20"/>
    </row>
    <row r="20" spans="1:11" x14ac:dyDescent="0.25">
      <c r="A20" s="20">
        <f t="shared" si="0"/>
        <v>1</v>
      </c>
      <c r="B20" s="21" t="s">
        <v>1</v>
      </c>
      <c r="C20" s="21">
        <f t="shared" si="1"/>
        <v>2</v>
      </c>
      <c r="D20" s="21" t="s">
        <v>2</v>
      </c>
      <c r="E20" s="21">
        <f t="shared" si="2"/>
        <v>0</v>
      </c>
      <c r="F20" s="21" t="s">
        <v>15</v>
      </c>
      <c r="G20" s="21">
        <f t="shared" si="3"/>
        <v>1</v>
      </c>
      <c r="H20" s="22" t="s">
        <v>2</v>
      </c>
      <c r="I20" s="21" t="s">
        <v>23</v>
      </c>
      <c r="J20" s="20"/>
      <c r="K20" s="20"/>
    </row>
    <row r="21" spans="1:11" x14ac:dyDescent="0.25">
      <c r="A21" s="20">
        <f t="shared" si="0"/>
        <v>1</v>
      </c>
      <c r="B21" s="21" t="s">
        <v>1</v>
      </c>
      <c r="C21" s="21">
        <f t="shared" ref="C21" si="10">VLOOKUP(B21, Categories, 2, FALSE)</f>
        <v>2</v>
      </c>
      <c r="D21" s="21" t="s">
        <v>2</v>
      </c>
      <c r="E21" s="21">
        <f t="shared" ref="E21" si="11">VLOOKUP(D21,Subcategories, 2, FALSE)</f>
        <v>0</v>
      </c>
      <c r="F21" s="21" t="s">
        <v>15</v>
      </c>
      <c r="G21" s="21">
        <f t="shared" ref="G21" si="12">VLOOKUP(F21,Topics, 2, FALSE)</f>
        <v>1</v>
      </c>
      <c r="H21" s="22" t="s">
        <v>2</v>
      </c>
      <c r="I21" s="8" t="s">
        <v>318</v>
      </c>
      <c r="J21" s="20"/>
      <c r="K21" s="20"/>
    </row>
    <row r="22" spans="1:11" x14ac:dyDescent="0.25">
      <c r="A22" s="20">
        <f t="shared" si="0"/>
        <v>1</v>
      </c>
      <c r="B22" s="21" t="s">
        <v>1</v>
      </c>
      <c r="C22" s="21">
        <f t="shared" ref="C22" si="13">VLOOKUP(B22, Categories, 2, FALSE)</f>
        <v>2</v>
      </c>
      <c r="D22" s="21" t="s">
        <v>2</v>
      </c>
      <c r="E22" s="21">
        <f t="shared" ref="E22" si="14">VLOOKUP(D22,Subcategories, 2, FALSE)</f>
        <v>0</v>
      </c>
      <c r="F22" s="21" t="s">
        <v>15</v>
      </c>
      <c r="G22" s="21">
        <f t="shared" ref="G22" si="15">VLOOKUP(F22,Topics, 2, FALSE)</f>
        <v>1</v>
      </c>
      <c r="H22" s="22" t="s">
        <v>2</v>
      </c>
      <c r="I22" s="8" t="s">
        <v>319</v>
      </c>
      <c r="J22" s="20"/>
      <c r="K22" s="20"/>
    </row>
    <row r="23" spans="1:11" x14ac:dyDescent="0.25">
      <c r="A23" s="20">
        <f t="shared" si="0"/>
        <v>1</v>
      </c>
      <c r="B23" s="21" t="s">
        <v>1</v>
      </c>
      <c r="C23" s="21">
        <f t="shared" ref="C23" si="16">VLOOKUP(B23, Categories, 2, FALSE)</f>
        <v>2</v>
      </c>
      <c r="D23" s="21" t="s">
        <v>2</v>
      </c>
      <c r="E23" s="21">
        <f t="shared" ref="E23" si="17">VLOOKUP(D23,Subcategories, 2, FALSE)</f>
        <v>0</v>
      </c>
      <c r="F23" s="21" t="s">
        <v>15</v>
      </c>
      <c r="G23" s="21">
        <f t="shared" ref="G23" si="18">VLOOKUP(F23,Topics, 2, FALSE)</f>
        <v>1</v>
      </c>
      <c r="H23" s="22" t="s">
        <v>2</v>
      </c>
      <c r="I23" s="8" t="s">
        <v>24</v>
      </c>
      <c r="J23" s="20"/>
      <c r="K23" s="20"/>
    </row>
    <row r="24" spans="1:11" x14ac:dyDescent="0.25">
      <c r="A24" s="20">
        <f t="shared" si="0"/>
        <v>1</v>
      </c>
      <c r="B24" s="21" t="s">
        <v>1</v>
      </c>
      <c r="C24" s="21">
        <f t="shared" si="1"/>
        <v>2</v>
      </c>
      <c r="D24" s="21" t="s">
        <v>2</v>
      </c>
      <c r="E24" s="21">
        <f t="shared" si="2"/>
        <v>0</v>
      </c>
      <c r="F24" s="21" t="s">
        <v>15</v>
      </c>
      <c r="G24" s="21">
        <f t="shared" si="3"/>
        <v>1</v>
      </c>
      <c r="H24" s="22" t="s">
        <v>25</v>
      </c>
      <c r="I24" s="8" t="s">
        <v>26</v>
      </c>
      <c r="J24" s="20"/>
      <c r="K24" s="20"/>
    </row>
    <row r="25" spans="1:11" x14ac:dyDescent="0.25">
      <c r="A25" s="20">
        <f t="shared" si="0"/>
        <v>1</v>
      </c>
      <c r="B25" s="21" t="s">
        <v>1</v>
      </c>
      <c r="C25" s="21">
        <f t="shared" si="1"/>
        <v>2</v>
      </c>
      <c r="D25" s="21" t="s">
        <v>2</v>
      </c>
      <c r="E25" s="21">
        <f t="shared" si="2"/>
        <v>0</v>
      </c>
      <c r="F25" s="21" t="s">
        <v>15</v>
      </c>
      <c r="G25" s="21">
        <f t="shared" si="3"/>
        <v>1</v>
      </c>
      <c r="H25" s="22" t="s">
        <v>25</v>
      </c>
      <c r="I25" s="8" t="s">
        <v>27</v>
      </c>
      <c r="J25" s="20"/>
      <c r="K25" s="20"/>
    </row>
    <row r="26" spans="1:11" x14ac:dyDescent="0.25">
      <c r="A26" s="20">
        <f t="shared" si="0"/>
        <v>1</v>
      </c>
      <c r="B26" s="21" t="s">
        <v>1</v>
      </c>
      <c r="C26" s="21">
        <f t="shared" si="1"/>
        <v>2</v>
      </c>
      <c r="D26" s="21" t="s">
        <v>2</v>
      </c>
      <c r="E26" s="21">
        <f t="shared" si="2"/>
        <v>0</v>
      </c>
      <c r="F26" s="21" t="s">
        <v>15</v>
      </c>
      <c r="G26" s="21">
        <f t="shared" si="3"/>
        <v>1</v>
      </c>
      <c r="H26" s="22" t="s">
        <v>25</v>
      </c>
      <c r="I26" s="8" t="s">
        <v>28</v>
      </c>
      <c r="J26" s="20"/>
      <c r="K26" s="20"/>
    </row>
    <row r="27" spans="1:11" x14ac:dyDescent="0.25">
      <c r="A27" s="20">
        <f t="shared" si="0"/>
        <v>1</v>
      </c>
      <c r="B27" s="21" t="s">
        <v>1</v>
      </c>
      <c r="C27" s="21">
        <f t="shared" si="1"/>
        <v>2</v>
      </c>
      <c r="D27" s="21" t="s">
        <v>2</v>
      </c>
      <c r="E27" s="21">
        <f t="shared" si="2"/>
        <v>0</v>
      </c>
      <c r="F27" s="21" t="s">
        <v>15</v>
      </c>
      <c r="G27" s="21">
        <f t="shared" si="3"/>
        <v>1</v>
      </c>
      <c r="H27" s="22" t="s">
        <v>25</v>
      </c>
      <c r="I27" s="8" t="s">
        <v>29</v>
      </c>
      <c r="J27" s="20"/>
      <c r="K27" s="20"/>
    </row>
    <row r="28" spans="1:11" x14ac:dyDescent="0.25">
      <c r="A28" s="20">
        <f t="shared" si="0"/>
        <v>1</v>
      </c>
      <c r="B28" s="21" t="s">
        <v>1</v>
      </c>
      <c r="C28" s="21">
        <f t="shared" si="1"/>
        <v>2</v>
      </c>
      <c r="D28" s="21" t="s">
        <v>2</v>
      </c>
      <c r="E28" s="21">
        <f t="shared" si="2"/>
        <v>0</v>
      </c>
      <c r="F28" s="21" t="s">
        <v>15</v>
      </c>
      <c r="G28" s="21">
        <f t="shared" si="3"/>
        <v>1</v>
      </c>
      <c r="H28" s="22" t="s">
        <v>25</v>
      </c>
      <c r="I28" s="8" t="s">
        <v>30</v>
      </c>
      <c r="J28" s="20"/>
      <c r="K28" s="20"/>
    </row>
    <row r="29" spans="1:11" x14ac:dyDescent="0.25">
      <c r="A29" s="20">
        <f t="shared" si="0"/>
        <v>1</v>
      </c>
      <c r="B29" s="21" t="s">
        <v>1</v>
      </c>
      <c r="C29" s="21">
        <f t="shared" si="1"/>
        <v>2</v>
      </c>
      <c r="D29" s="21" t="s">
        <v>2</v>
      </c>
      <c r="E29" s="21">
        <f t="shared" si="2"/>
        <v>0</v>
      </c>
      <c r="F29" s="21" t="s">
        <v>15</v>
      </c>
      <c r="G29" s="21">
        <f t="shared" si="3"/>
        <v>1</v>
      </c>
      <c r="H29" s="22" t="s">
        <v>25</v>
      </c>
      <c r="I29" s="21" t="s">
        <v>31</v>
      </c>
      <c r="J29" s="20"/>
      <c r="K29" s="20"/>
    </row>
    <row r="30" spans="1:11" x14ac:dyDescent="0.25">
      <c r="A30" s="20">
        <f t="shared" si="0"/>
        <v>1</v>
      </c>
      <c r="B30" s="21" t="s">
        <v>1</v>
      </c>
      <c r="C30" s="21">
        <f t="shared" si="1"/>
        <v>2</v>
      </c>
      <c r="D30" s="21" t="s">
        <v>2</v>
      </c>
      <c r="E30" s="21">
        <f t="shared" si="2"/>
        <v>0</v>
      </c>
      <c r="F30" s="21" t="s">
        <v>15</v>
      </c>
      <c r="G30" s="21">
        <f t="shared" si="3"/>
        <v>1</v>
      </c>
      <c r="H30" s="22" t="s">
        <v>32</v>
      </c>
      <c r="I30" s="8" t="s">
        <v>33</v>
      </c>
      <c r="J30" s="20"/>
      <c r="K30" s="20"/>
    </row>
    <row r="31" spans="1:11" x14ac:dyDescent="0.25">
      <c r="A31" s="20">
        <f t="shared" si="0"/>
        <v>1</v>
      </c>
      <c r="B31" s="21" t="s">
        <v>1</v>
      </c>
      <c r="C31" s="21">
        <f t="shared" si="1"/>
        <v>2</v>
      </c>
      <c r="D31" s="21" t="s">
        <v>2</v>
      </c>
      <c r="E31" s="21">
        <f t="shared" si="2"/>
        <v>0</v>
      </c>
      <c r="F31" s="21" t="s">
        <v>15</v>
      </c>
      <c r="G31" s="21">
        <f t="shared" si="3"/>
        <v>1</v>
      </c>
      <c r="H31" s="22" t="s">
        <v>32</v>
      </c>
      <c r="I31" s="8" t="s">
        <v>34</v>
      </c>
      <c r="J31" s="20"/>
      <c r="K31" s="20"/>
    </row>
    <row r="32" spans="1:11" x14ac:dyDescent="0.25">
      <c r="A32" s="20">
        <f t="shared" si="0"/>
        <v>1</v>
      </c>
      <c r="B32" s="21" t="s">
        <v>1</v>
      </c>
      <c r="C32" s="21">
        <f t="shared" si="1"/>
        <v>2</v>
      </c>
      <c r="D32" s="21" t="s">
        <v>2</v>
      </c>
      <c r="E32" s="21">
        <f t="shared" si="2"/>
        <v>0</v>
      </c>
      <c r="F32" s="21" t="s">
        <v>15</v>
      </c>
      <c r="G32" s="21">
        <f t="shared" si="3"/>
        <v>1</v>
      </c>
      <c r="H32" s="22" t="s">
        <v>32</v>
      </c>
      <c r="I32" s="8" t="s">
        <v>35</v>
      </c>
      <c r="J32" s="20"/>
      <c r="K32" s="20"/>
    </row>
    <row r="33" spans="1:11" x14ac:dyDescent="0.25">
      <c r="A33" s="20">
        <f t="shared" si="0"/>
        <v>1</v>
      </c>
      <c r="B33" s="21" t="s">
        <v>1</v>
      </c>
      <c r="C33" s="21">
        <f t="shared" si="1"/>
        <v>2</v>
      </c>
      <c r="D33" s="21" t="s">
        <v>2</v>
      </c>
      <c r="E33" s="21">
        <f t="shared" si="2"/>
        <v>0</v>
      </c>
      <c r="F33" s="21" t="s">
        <v>15</v>
      </c>
      <c r="G33" s="21">
        <f t="shared" si="3"/>
        <v>1</v>
      </c>
      <c r="H33" s="22" t="s">
        <v>32</v>
      </c>
      <c r="I33" s="8" t="s">
        <v>36</v>
      </c>
      <c r="J33" s="20"/>
      <c r="K33" s="20"/>
    </row>
    <row r="34" spans="1:11" x14ac:dyDescent="0.25">
      <c r="A34" s="20">
        <f t="shared" si="0"/>
        <v>1</v>
      </c>
      <c r="B34" s="21" t="s">
        <v>1</v>
      </c>
      <c r="C34" s="21">
        <f t="shared" si="1"/>
        <v>2</v>
      </c>
      <c r="D34" s="21" t="s">
        <v>2</v>
      </c>
      <c r="E34" s="21">
        <f t="shared" si="2"/>
        <v>0</v>
      </c>
      <c r="F34" s="21" t="s">
        <v>15</v>
      </c>
      <c r="G34" s="21">
        <f t="shared" si="3"/>
        <v>1</v>
      </c>
      <c r="H34" s="22" t="s">
        <v>32</v>
      </c>
      <c r="I34" s="8" t="s">
        <v>37</v>
      </c>
      <c r="J34" s="20"/>
      <c r="K34" s="20"/>
    </row>
    <row r="35" spans="1:11" x14ac:dyDescent="0.25">
      <c r="A35" s="20">
        <f t="shared" si="0"/>
        <v>1</v>
      </c>
      <c r="B35" s="21" t="s">
        <v>1</v>
      </c>
      <c r="C35" s="21">
        <f t="shared" si="1"/>
        <v>2</v>
      </c>
      <c r="D35" s="21" t="s">
        <v>2</v>
      </c>
      <c r="E35" s="21">
        <f t="shared" si="2"/>
        <v>0</v>
      </c>
      <c r="F35" s="21" t="s">
        <v>15</v>
      </c>
      <c r="G35" s="21">
        <f t="shared" si="3"/>
        <v>1</v>
      </c>
      <c r="H35" s="22" t="s">
        <v>32</v>
      </c>
      <c r="I35" s="8" t="s">
        <v>38</v>
      </c>
      <c r="J35" s="20"/>
      <c r="K35" s="20"/>
    </row>
    <row r="36" spans="1:11" x14ac:dyDescent="0.25">
      <c r="A36" s="20">
        <f t="shared" si="0"/>
        <v>1</v>
      </c>
      <c r="B36" s="21" t="s">
        <v>1</v>
      </c>
      <c r="C36" s="21">
        <f t="shared" si="1"/>
        <v>2</v>
      </c>
      <c r="D36" s="21" t="s">
        <v>2</v>
      </c>
      <c r="E36" s="21">
        <f t="shared" si="2"/>
        <v>0</v>
      </c>
      <c r="F36" s="21" t="s">
        <v>15</v>
      </c>
      <c r="G36" s="21">
        <f t="shared" si="3"/>
        <v>1</v>
      </c>
      <c r="H36" s="22" t="s">
        <v>32</v>
      </c>
      <c r="I36" s="8" t="s">
        <v>39</v>
      </c>
      <c r="J36" s="20"/>
      <c r="K36" s="20"/>
    </row>
    <row r="37" spans="1:11" x14ac:dyDescent="0.25">
      <c r="A37" s="20">
        <f t="shared" si="0"/>
        <v>1</v>
      </c>
      <c r="B37" s="21" t="s">
        <v>1</v>
      </c>
      <c r="C37" s="21">
        <f t="shared" ref="C37:C70" si="19">VLOOKUP(B37, Categories, 2, FALSE)</f>
        <v>2</v>
      </c>
      <c r="D37" s="21" t="s">
        <v>2</v>
      </c>
      <c r="E37" s="21">
        <f t="shared" ref="E37:E70" si="20">VLOOKUP(D37,Subcategories, 2, FALSE)</f>
        <v>0</v>
      </c>
      <c r="F37" s="21" t="s">
        <v>15</v>
      </c>
      <c r="G37" s="21">
        <f t="shared" ref="G37:G70" si="21">VLOOKUP(F37,Topics, 2, FALSE)</f>
        <v>1</v>
      </c>
      <c r="H37" s="22" t="s">
        <v>32</v>
      </c>
      <c r="I37" s="8" t="s">
        <v>40</v>
      </c>
      <c r="J37" s="20"/>
      <c r="K37" s="20"/>
    </row>
    <row r="38" spans="1:11" x14ac:dyDescent="0.25">
      <c r="A38" s="20">
        <f t="shared" si="0"/>
        <v>1</v>
      </c>
      <c r="B38" s="21" t="s">
        <v>1</v>
      </c>
      <c r="C38" s="21">
        <f t="shared" si="19"/>
        <v>2</v>
      </c>
      <c r="D38" s="21" t="s">
        <v>2</v>
      </c>
      <c r="E38" s="21">
        <f t="shared" si="20"/>
        <v>0</v>
      </c>
      <c r="F38" s="21" t="s">
        <v>15</v>
      </c>
      <c r="G38" s="21">
        <f t="shared" si="21"/>
        <v>1</v>
      </c>
      <c r="H38" s="22" t="s">
        <v>32</v>
      </c>
      <c r="I38" s="21" t="s">
        <v>41</v>
      </c>
      <c r="J38" s="20"/>
      <c r="K38" s="20"/>
    </row>
    <row r="39" spans="1:11" x14ac:dyDescent="0.25">
      <c r="A39" s="20">
        <f t="shared" si="0"/>
        <v>1</v>
      </c>
      <c r="B39" s="21" t="s">
        <v>1</v>
      </c>
      <c r="C39" s="21">
        <f t="shared" si="19"/>
        <v>2</v>
      </c>
      <c r="D39" s="21" t="s">
        <v>2</v>
      </c>
      <c r="E39" s="21">
        <f t="shared" si="20"/>
        <v>0</v>
      </c>
      <c r="F39" s="21" t="s">
        <v>15</v>
      </c>
      <c r="G39" s="21">
        <f t="shared" si="21"/>
        <v>1</v>
      </c>
      <c r="H39" s="22" t="s">
        <v>32</v>
      </c>
      <c r="I39" s="21" t="s">
        <v>42</v>
      </c>
      <c r="J39" s="20"/>
      <c r="K39" s="20"/>
    </row>
    <row r="40" spans="1:11" x14ac:dyDescent="0.25">
      <c r="A40" s="20">
        <f t="shared" si="0"/>
        <v>1</v>
      </c>
      <c r="B40" s="21" t="s">
        <v>1</v>
      </c>
      <c r="C40" s="21">
        <f t="shared" si="19"/>
        <v>2</v>
      </c>
      <c r="D40" s="21" t="s">
        <v>2</v>
      </c>
      <c r="E40" s="21">
        <f t="shared" si="20"/>
        <v>0</v>
      </c>
      <c r="F40" s="21" t="s">
        <v>15</v>
      </c>
      <c r="G40" s="21">
        <f t="shared" si="21"/>
        <v>1</v>
      </c>
      <c r="H40" s="22" t="s">
        <v>43</v>
      </c>
      <c r="I40" s="8" t="s">
        <v>44</v>
      </c>
      <c r="J40" s="20"/>
      <c r="K40" s="20"/>
    </row>
    <row r="41" spans="1:11" x14ac:dyDescent="0.25">
      <c r="A41" s="20">
        <f t="shared" si="0"/>
        <v>1</v>
      </c>
      <c r="B41" s="21" t="s">
        <v>1</v>
      </c>
      <c r="C41" s="21">
        <f t="shared" si="19"/>
        <v>2</v>
      </c>
      <c r="D41" s="21" t="s">
        <v>2</v>
      </c>
      <c r="E41" s="21">
        <f t="shared" si="20"/>
        <v>0</v>
      </c>
      <c r="F41" s="21" t="s">
        <v>15</v>
      </c>
      <c r="G41" s="21">
        <f t="shared" si="21"/>
        <v>1</v>
      </c>
      <c r="H41" s="22" t="s">
        <v>32</v>
      </c>
      <c r="I41" s="8" t="s">
        <v>47</v>
      </c>
      <c r="J41" s="20"/>
      <c r="K41" s="20"/>
    </row>
    <row r="42" spans="1:11" x14ac:dyDescent="0.25">
      <c r="A42" s="20">
        <f t="shared" si="0"/>
        <v>1</v>
      </c>
      <c r="B42" s="21" t="s">
        <v>1</v>
      </c>
      <c r="C42" s="21">
        <f t="shared" si="19"/>
        <v>2</v>
      </c>
      <c r="D42" s="21" t="s">
        <v>2</v>
      </c>
      <c r="E42" s="21">
        <f t="shared" si="20"/>
        <v>0</v>
      </c>
      <c r="F42" s="21" t="s">
        <v>15</v>
      </c>
      <c r="G42" s="21">
        <f t="shared" si="21"/>
        <v>1</v>
      </c>
      <c r="H42" s="22" t="s">
        <v>46</v>
      </c>
      <c r="I42" s="8" t="s">
        <v>48</v>
      </c>
      <c r="J42" s="20"/>
      <c r="K42" s="20"/>
    </row>
    <row r="43" spans="1:11" x14ac:dyDescent="0.25">
      <c r="A43" s="20">
        <f t="shared" si="0"/>
        <v>0</v>
      </c>
      <c r="B43" s="21" t="s">
        <v>1</v>
      </c>
      <c r="C43" s="21">
        <f t="shared" si="19"/>
        <v>2</v>
      </c>
      <c r="D43" s="21" t="s">
        <v>2</v>
      </c>
      <c r="E43" s="21">
        <f t="shared" si="20"/>
        <v>0</v>
      </c>
      <c r="F43" s="21" t="s">
        <v>45</v>
      </c>
      <c r="G43" s="21">
        <f t="shared" si="21"/>
        <v>2</v>
      </c>
      <c r="H43" s="22" t="s">
        <v>46</v>
      </c>
      <c r="I43" s="21" t="s">
        <v>49</v>
      </c>
      <c r="J43" s="20"/>
      <c r="K43" s="20"/>
    </row>
    <row r="44" spans="1:11" x14ac:dyDescent="0.25">
      <c r="A44" s="20">
        <f t="shared" si="0"/>
        <v>0</v>
      </c>
      <c r="B44" s="21" t="s">
        <v>1</v>
      </c>
      <c r="C44" s="21">
        <f t="shared" si="19"/>
        <v>2</v>
      </c>
      <c r="D44" s="21" t="s">
        <v>2</v>
      </c>
      <c r="E44" s="21">
        <f t="shared" si="20"/>
        <v>0</v>
      </c>
      <c r="F44" s="21" t="s">
        <v>45</v>
      </c>
      <c r="G44" s="21">
        <f t="shared" si="21"/>
        <v>2</v>
      </c>
      <c r="H44" s="22" t="s">
        <v>46</v>
      </c>
      <c r="I44" s="8" t="s">
        <v>51</v>
      </c>
      <c r="J44" s="20"/>
      <c r="K44" s="20"/>
    </row>
    <row r="45" spans="1:11" x14ac:dyDescent="0.25">
      <c r="A45" s="20">
        <f t="shared" si="0"/>
        <v>0</v>
      </c>
      <c r="B45" s="21" t="s">
        <v>1</v>
      </c>
      <c r="C45" s="21">
        <f t="shared" si="19"/>
        <v>2</v>
      </c>
      <c r="D45" s="21" t="s">
        <v>2</v>
      </c>
      <c r="E45" s="21">
        <f t="shared" si="20"/>
        <v>0</v>
      </c>
      <c r="F45" s="21" t="s">
        <v>45</v>
      </c>
      <c r="G45" s="21">
        <f t="shared" si="21"/>
        <v>2</v>
      </c>
      <c r="H45" s="22" t="s">
        <v>46</v>
      </c>
      <c r="I45" s="8" t="s">
        <v>52</v>
      </c>
      <c r="J45" s="20"/>
      <c r="K45" s="20"/>
    </row>
    <row r="46" spans="1:11" x14ac:dyDescent="0.25">
      <c r="A46" s="20">
        <f t="shared" si="0"/>
        <v>0</v>
      </c>
      <c r="B46" s="21" t="s">
        <v>1</v>
      </c>
      <c r="C46" s="21">
        <f t="shared" si="19"/>
        <v>2</v>
      </c>
      <c r="D46" s="21" t="s">
        <v>2</v>
      </c>
      <c r="E46" s="21">
        <f t="shared" si="20"/>
        <v>0</v>
      </c>
      <c r="F46" s="21" t="s">
        <v>45</v>
      </c>
      <c r="G46" s="21">
        <f t="shared" si="21"/>
        <v>2</v>
      </c>
      <c r="H46" s="22" t="s">
        <v>50</v>
      </c>
      <c r="I46" s="8" t="s">
        <v>53</v>
      </c>
      <c r="J46" s="20"/>
      <c r="K46" s="20"/>
    </row>
    <row r="47" spans="1:11" x14ac:dyDescent="0.25">
      <c r="A47" s="20">
        <f t="shared" si="0"/>
        <v>0</v>
      </c>
      <c r="B47" s="21" t="s">
        <v>1</v>
      </c>
      <c r="C47" s="21">
        <f t="shared" si="19"/>
        <v>2</v>
      </c>
      <c r="D47" s="21" t="s">
        <v>2</v>
      </c>
      <c r="E47" s="21">
        <f t="shared" si="20"/>
        <v>0</v>
      </c>
      <c r="F47" s="21" t="s">
        <v>45</v>
      </c>
      <c r="G47" s="21">
        <f t="shared" si="21"/>
        <v>2</v>
      </c>
      <c r="H47" s="22" t="s">
        <v>50</v>
      </c>
      <c r="I47" s="21" t="s">
        <v>54</v>
      </c>
      <c r="J47" s="20"/>
      <c r="K47" s="20"/>
    </row>
    <row r="48" spans="1:11" x14ac:dyDescent="0.25">
      <c r="A48" s="20">
        <f t="shared" si="0"/>
        <v>0</v>
      </c>
      <c r="B48" s="21" t="s">
        <v>1</v>
      </c>
      <c r="C48" s="21">
        <f t="shared" si="19"/>
        <v>2</v>
      </c>
      <c r="D48" s="21" t="s">
        <v>2</v>
      </c>
      <c r="E48" s="21">
        <f t="shared" si="20"/>
        <v>0</v>
      </c>
      <c r="F48" s="21" t="s">
        <v>45</v>
      </c>
      <c r="G48" s="21">
        <f t="shared" si="21"/>
        <v>2</v>
      </c>
      <c r="H48" s="22" t="s">
        <v>50</v>
      </c>
      <c r="I48" s="21" t="s">
        <v>55</v>
      </c>
      <c r="J48" s="20"/>
      <c r="K48" s="20"/>
    </row>
    <row r="49" spans="1:11" x14ac:dyDescent="0.25">
      <c r="A49" s="20">
        <f t="shared" si="0"/>
        <v>0</v>
      </c>
      <c r="B49" s="21" t="s">
        <v>1</v>
      </c>
      <c r="C49" s="21">
        <f t="shared" si="19"/>
        <v>2</v>
      </c>
      <c r="D49" s="21" t="s">
        <v>2</v>
      </c>
      <c r="E49" s="21">
        <f t="shared" si="20"/>
        <v>0</v>
      </c>
      <c r="F49" s="21" t="s">
        <v>45</v>
      </c>
      <c r="G49" s="21">
        <f t="shared" si="21"/>
        <v>2</v>
      </c>
      <c r="H49" s="22" t="s">
        <v>50</v>
      </c>
      <c r="I49" s="21" t="s">
        <v>56</v>
      </c>
      <c r="J49" s="20"/>
      <c r="K49" s="20"/>
    </row>
    <row r="50" spans="1:11" x14ac:dyDescent="0.25">
      <c r="A50" s="20">
        <f t="shared" si="0"/>
        <v>0</v>
      </c>
      <c r="B50" s="21" t="s">
        <v>1</v>
      </c>
      <c r="C50" s="21">
        <f t="shared" si="19"/>
        <v>2</v>
      </c>
      <c r="D50" s="21" t="s">
        <v>2</v>
      </c>
      <c r="E50" s="21">
        <f t="shared" si="20"/>
        <v>0</v>
      </c>
      <c r="F50" s="21" t="s">
        <v>45</v>
      </c>
      <c r="G50" s="21">
        <f t="shared" si="21"/>
        <v>2</v>
      </c>
      <c r="H50" s="22" t="s">
        <v>50</v>
      </c>
      <c r="I50" s="21" t="s">
        <v>57</v>
      </c>
      <c r="J50" s="20"/>
      <c r="K50" s="20"/>
    </row>
    <row r="51" spans="1:11" x14ac:dyDescent="0.25">
      <c r="A51" s="20">
        <f t="shared" si="0"/>
        <v>0</v>
      </c>
      <c r="B51" s="21" t="s">
        <v>1</v>
      </c>
      <c r="C51" s="21">
        <f t="shared" si="19"/>
        <v>2</v>
      </c>
      <c r="D51" s="21" t="s">
        <v>2</v>
      </c>
      <c r="E51" s="21">
        <f t="shared" si="20"/>
        <v>0</v>
      </c>
      <c r="F51" s="21" t="s">
        <v>45</v>
      </c>
      <c r="G51" s="21">
        <f t="shared" si="21"/>
        <v>2</v>
      </c>
      <c r="H51" s="22" t="s">
        <v>50</v>
      </c>
      <c r="I51" s="8" t="s">
        <v>59</v>
      </c>
      <c r="J51" s="20"/>
      <c r="K51" s="20"/>
    </row>
    <row r="52" spans="1:11" x14ac:dyDescent="0.25">
      <c r="A52" s="20">
        <f t="shared" si="0"/>
        <v>0</v>
      </c>
      <c r="B52" s="21" t="s">
        <v>1</v>
      </c>
      <c r="C52" s="21">
        <f t="shared" si="19"/>
        <v>2</v>
      </c>
      <c r="D52" s="21" t="s">
        <v>2</v>
      </c>
      <c r="E52" s="21">
        <f t="shared" si="20"/>
        <v>0</v>
      </c>
      <c r="F52" s="21" t="s">
        <v>45</v>
      </c>
      <c r="G52" s="21">
        <f t="shared" si="21"/>
        <v>2</v>
      </c>
      <c r="H52" s="22" t="s">
        <v>50</v>
      </c>
      <c r="I52" s="8" t="s">
        <v>60</v>
      </c>
      <c r="J52" s="20"/>
      <c r="K52" s="20"/>
    </row>
    <row r="53" spans="1:11" x14ac:dyDescent="0.25">
      <c r="A53" s="20">
        <f t="shared" si="0"/>
        <v>0</v>
      </c>
      <c r="B53" s="21" t="s">
        <v>1</v>
      </c>
      <c r="C53" s="21">
        <f t="shared" si="19"/>
        <v>2</v>
      </c>
      <c r="D53" s="21" t="s">
        <v>2</v>
      </c>
      <c r="E53" s="21">
        <f t="shared" si="20"/>
        <v>0</v>
      </c>
      <c r="F53" s="21" t="s">
        <v>45</v>
      </c>
      <c r="G53" s="21">
        <f t="shared" si="21"/>
        <v>2</v>
      </c>
      <c r="H53" s="22" t="s">
        <v>58</v>
      </c>
      <c r="I53" s="8" t="s">
        <v>61</v>
      </c>
      <c r="J53" s="20"/>
      <c r="K53" s="20"/>
    </row>
    <row r="54" spans="1:11" x14ac:dyDescent="0.25">
      <c r="A54" s="20">
        <f t="shared" si="0"/>
        <v>0</v>
      </c>
      <c r="B54" s="21" t="s">
        <v>1</v>
      </c>
      <c r="C54" s="21">
        <f t="shared" si="19"/>
        <v>2</v>
      </c>
      <c r="D54" s="21" t="s">
        <v>2</v>
      </c>
      <c r="E54" s="21">
        <f t="shared" si="20"/>
        <v>0</v>
      </c>
      <c r="F54" s="21" t="s">
        <v>45</v>
      </c>
      <c r="G54" s="21">
        <f t="shared" si="21"/>
        <v>2</v>
      </c>
      <c r="H54" s="22" t="s">
        <v>58</v>
      </c>
      <c r="I54" s="21" t="s">
        <v>62</v>
      </c>
      <c r="J54" s="20"/>
      <c r="K54" s="20"/>
    </row>
    <row r="55" spans="1:11" x14ac:dyDescent="0.25">
      <c r="A55" s="20">
        <f t="shared" si="0"/>
        <v>0</v>
      </c>
      <c r="B55" s="21" t="s">
        <v>1</v>
      </c>
      <c r="C55" s="21">
        <f t="shared" si="19"/>
        <v>2</v>
      </c>
      <c r="D55" s="21" t="s">
        <v>2</v>
      </c>
      <c r="E55" s="21">
        <f t="shared" si="20"/>
        <v>0</v>
      </c>
      <c r="F55" s="21" t="s">
        <v>45</v>
      </c>
      <c r="G55" s="21">
        <f t="shared" si="21"/>
        <v>2</v>
      </c>
      <c r="H55" s="22" t="s">
        <v>58</v>
      </c>
      <c r="I55" s="21" t="s">
        <v>63</v>
      </c>
      <c r="J55" s="20"/>
      <c r="K55" s="20"/>
    </row>
    <row r="56" spans="1:11" x14ac:dyDescent="0.25">
      <c r="A56" s="20">
        <f t="shared" si="0"/>
        <v>0</v>
      </c>
      <c r="B56" s="21" t="s">
        <v>1</v>
      </c>
      <c r="C56" s="21">
        <f t="shared" si="19"/>
        <v>2</v>
      </c>
      <c r="D56" s="21" t="s">
        <v>2</v>
      </c>
      <c r="E56" s="21">
        <f t="shared" si="20"/>
        <v>0</v>
      </c>
      <c r="F56" s="21" t="s">
        <v>45</v>
      </c>
      <c r="G56" s="21">
        <f t="shared" si="21"/>
        <v>2</v>
      </c>
      <c r="H56" s="22" t="s">
        <v>58</v>
      </c>
      <c r="I56" s="21" t="s">
        <v>65</v>
      </c>
      <c r="J56" s="20"/>
      <c r="K56" s="20"/>
    </row>
    <row r="57" spans="1:11" x14ac:dyDescent="0.25">
      <c r="A57" s="20">
        <f t="shared" si="0"/>
        <v>0</v>
      </c>
      <c r="B57" s="21" t="s">
        <v>1</v>
      </c>
      <c r="C57" s="21">
        <f t="shared" si="19"/>
        <v>2</v>
      </c>
      <c r="D57" s="21" t="s">
        <v>2</v>
      </c>
      <c r="E57" s="21">
        <f t="shared" si="20"/>
        <v>0</v>
      </c>
      <c r="F57" s="21" t="s">
        <v>45</v>
      </c>
      <c r="G57" s="21">
        <f t="shared" si="21"/>
        <v>2</v>
      </c>
      <c r="H57" s="22" t="s">
        <v>58</v>
      </c>
      <c r="I57" s="21" t="s">
        <v>66</v>
      </c>
      <c r="J57" s="20"/>
      <c r="K57" s="20"/>
    </row>
    <row r="58" spans="1:11" x14ac:dyDescent="0.25">
      <c r="A58" s="20">
        <f t="shared" si="0"/>
        <v>0</v>
      </c>
      <c r="B58" s="21" t="s">
        <v>1</v>
      </c>
      <c r="C58" s="21">
        <f t="shared" si="19"/>
        <v>2</v>
      </c>
      <c r="D58" s="21" t="s">
        <v>2</v>
      </c>
      <c r="E58" s="21">
        <f t="shared" si="20"/>
        <v>0</v>
      </c>
      <c r="F58" s="21" t="s">
        <v>45</v>
      </c>
      <c r="G58" s="21">
        <f t="shared" si="21"/>
        <v>2</v>
      </c>
      <c r="H58" s="22" t="s">
        <v>64</v>
      </c>
      <c r="I58" s="21" t="s">
        <v>67</v>
      </c>
      <c r="J58" s="20"/>
      <c r="K58" s="20"/>
    </row>
    <row r="59" spans="1:11" x14ac:dyDescent="0.25">
      <c r="A59" s="20">
        <f t="shared" si="0"/>
        <v>0</v>
      </c>
      <c r="B59" s="21" t="s">
        <v>1</v>
      </c>
      <c r="C59" s="21">
        <f t="shared" si="19"/>
        <v>2</v>
      </c>
      <c r="D59" s="21" t="s">
        <v>2</v>
      </c>
      <c r="E59" s="21">
        <f t="shared" si="20"/>
        <v>0</v>
      </c>
      <c r="F59" s="21" t="s">
        <v>45</v>
      </c>
      <c r="G59" s="21">
        <f t="shared" si="21"/>
        <v>2</v>
      </c>
      <c r="H59" s="22" t="s">
        <v>64</v>
      </c>
      <c r="I59" s="21" t="s">
        <v>68</v>
      </c>
      <c r="J59" s="20"/>
      <c r="K59" s="20"/>
    </row>
    <row r="60" spans="1:11" x14ac:dyDescent="0.25">
      <c r="A60" s="20">
        <f t="shared" si="0"/>
        <v>0</v>
      </c>
      <c r="B60" s="21" t="s">
        <v>1</v>
      </c>
      <c r="C60" s="21">
        <f t="shared" si="19"/>
        <v>2</v>
      </c>
      <c r="D60" s="21" t="s">
        <v>2</v>
      </c>
      <c r="E60" s="21">
        <f t="shared" si="20"/>
        <v>0</v>
      </c>
      <c r="F60" s="21" t="s">
        <v>45</v>
      </c>
      <c r="G60" s="21">
        <f t="shared" si="21"/>
        <v>2</v>
      </c>
      <c r="H60" s="22" t="s">
        <v>69</v>
      </c>
      <c r="I60" s="8" t="s">
        <v>71</v>
      </c>
      <c r="J60" s="20"/>
      <c r="K60" s="20"/>
    </row>
    <row r="61" spans="1:11" x14ac:dyDescent="0.25">
      <c r="A61" s="20">
        <f t="shared" si="0"/>
        <v>0</v>
      </c>
      <c r="B61" s="21" t="s">
        <v>1</v>
      </c>
      <c r="C61" s="21">
        <f t="shared" si="19"/>
        <v>2</v>
      </c>
      <c r="D61" s="21" t="s">
        <v>2</v>
      </c>
      <c r="E61" s="21">
        <f t="shared" si="20"/>
        <v>0</v>
      </c>
      <c r="F61" s="21" t="s">
        <v>45</v>
      </c>
      <c r="G61" s="21">
        <f t="shared" si="21"/>
        <v>2</v>
      </c>
      <c r="H61" s="22" t="s">
        <v>69</v>
      </c>
      <c r="I61" s="8" t="s">
        <v>72</v>
      </c>
      <c r="J61" s="20"/>
      <c r="K61" s="20"/>
    </row>
    <row r="62" spans="1:11" x14ac:dyDescent="0.25">
      <c r="A62" s="20">
        <f t="shared" si="0"/>
        <v>1</v>
      </c>
      <c r="B62" s="21" t="s">
        <v>1</v>
      </c>
      <c r="C62" s="21">
        <f t="shared" si="19"/>
        <v>2</v>
      </c>
      <c r="D62" s="21" t="s">
        <v>2</v>
      </c>
      <c r="E62" s="21">
        <f t="shared" si="20"/>
        <v>0</v>
      </c>
      <c r="F62" s="21" t="s">
        <v>78</v>
      </c>
      <c r="G62" s="21">
        <f t="shared" si="21"/>
        <v>4</v>
      </c>
      <c r="H62" s="22" t="s">
        <v>79</v>
      </c>
      <c r="I62" s="21" t="s">
        <v>80</v>
      </c>
      <c r="J62" s="20"/>
      <c r="K62" s="20"/>
    </row>
    <row r="63" spans="1:11" x14ac:dyDescent="0.25">
      <c r="A63" s="20">
        <f t="shared" si="0"/>
        <v>1</v>
      </c>
      <c r="B63" s="21" t="s">
        <v>1</v>
      </c>
      <c r="C63" s="21">
        <f t="shared" si="19"/>
        <v>2</v>
      </c>
      <c r="D63" s="21" t="s">
        <v>2</v>
      </c>
      <c r="E63" s="21">
        <f t="shared" si="20"/>
        <v>0</v>
      </c>
      <c r="F63" s="21" t="s">
        <v>78</v>
      </c>
      <c r="G63" s="21">
        <f t="shared" si="21"/>
        <v>4</v>
      </c>
      <c r="H63" s="22" t="s">
        <v>79</v>
      </c>
      <c r="I63" s="21" t="s">
        <v>316</v>
      </c>
      <c r="J63" s="20"/>
      <c r="K63" s="20"/>
    </row>
    <row r="64" spans="1:11" x14ac:dyDescent="0.25">
      <c r="A64" s="20">
        <f t="shared" si="0"/>
        <v>1</v>
      </c>
      <c r="B64" s="21" t="s">
        <v>1</v>
      </c>
      <c r="C64" s="21">
        <f t="shared" si="19"/>
        <v>2</v>
      </c>
      <c r="D64" s="21" t="s">
        <v>2</v>
      </c>
      <c r="E64" s="21">
        <f t="shared" si="20"/>
        <v>0</v>
      </c>
      <c r="F64" s="21" t="s">
        <v>78</v>
      </c>
      <c r="G64" s="21">
        <f t="shared" si="21"/>
        <v>4</v>
      </c>
      <c r="H64" s="22" t="s">
        <v>79</v>
      </c>
      <c r="I64" s="21" t="s">
        <v>81</v>
      </c>
      <c r="J64" s="20"/>
      <c r="K64" s="20"/>
    </row>
    <row r="65" spans="1:11" x14ac:dyDescent="0.25">
      <c r="A65" s="20">
        <f t="shared" si="0"/>
        <v>1</v>
      </c>
      <c r="B65" s="21" t="s">
        <v>1</v>
      </c>
      <c r="C65" s="21">
        <f t="shared" si="19"/>
        <v>2</v>
      </c>
      <c r="D65" s="21" t="s">
        <v>2</v>
      </c>
      <c r="E65" s="21">
        <f t="shared" si="20"/>
        <v>0</v>
      </c>
      <c r="F65" s="21" t="s">
        <v>78</v>
      </c>
      <c r="G65" s="21">
        <f t="shared" si="21"/>
        <v>4</v>
      </c>
      <c r="H65" s="22" t="s">
        <v>79</v>
      </c>
      <c r="I65" s="21" t="s">
        <v>82</v>
      </c>
      <c r="J65" s="20"/>
      <c r="K65" s="20"/>
    </row>
    <row r="66" spans="1:11" x14ac:dyDescent="0.25">
      <c r="A66" s="20">
        <f t="shared" ref="A66:A129" si="22">IF(F66&lt;&gt;F65,IF(A65=0,1,0),A65)</f>
        <v>0</v>
      </c>
      <c r="B66" s="21" t="s">
        <v>1</v>
      </c>
      <c r="C66" s="21">
        <f t="shared" si="19"/>
        <v>2</v>
      </c>
      <c r="D66" s="21" t="s">
        <v>85</v>
      </c>
      <c r="E66" s="21">
        <f t="shared" si="20"/>
        <v>1</v>
      </c>
      <c r="F66" s="8" t="s">
        <v>86</v>
      </c>
      <c r="G66" s="21">
        <f t="shared" si="21"/>
        <v>5</v>
      </c>
      <c r="H66" s="17" t="s">
        <v>87</v>
      </c>
      <c r="I66" s="8" t="s">
        <v>321</v>
      </c>
      <c r="J66" s="20"/>
      <c r="K66" s="20"/>
    </row>
    <row r="67" spans="1:11" x14ac:dyDescent="0.25">
      <c r="A67" s="20">
        <f t="shared" si="22"/>
        <v>0</v>
      </c>
      <c r="B67" s="21" t="s">
        <v>1</v>
      </c>
      <c r="C67" s="21">
        <f t="shared" ref="C67" si="23">VLOOKUP(B67, Categories, 2, FALSE)</f>
        <v>2</v>
      </c>
      <c r="D67" s="21" t="s">
        <v>85</v>
      </c>
      <c r="E67" s="21">
        <f t="shared" ref="E67" si="24">VLOOKUP(D67,Subcategories, 2, FALSE)</f>
        <v>1</v>
      </c>
      <c r="F67" s="8" t="s">
        <v>86</v>
      </c>
      <c r="G67" s="21">
        <f t="shared" ref="G67" si="25">VLOOKUP(F67,Topics, 2, FALSE)</f>
        <v>5</v>
      </c>
      <c r="H67" s="17" t="s">
        <v>87</v>
      </c>
      <c r="I67" s="8" t="s">
        <v>322</v>
      </c>
      <c r="J67" s="20"/>
      <c r="K67" s="20"/>
    </row>
    <row r="68" spans="1:11" x14ac:dyDescent="0.25">
      <c r="A68" s="20">
        <f t="shared" si="22"/>
        <v>0</v>
      </c>
      <c r="B68" s="21" t="s">
        <v>1</v>
      </c>
      <c r="C68" s="21">
        <f t="shared" ref="C68" si="26">VLOOKUP(B68, Categories, 2, FALSE)</f>
        <v>2</v>
      </c>
      <c r="D68" s="21" t="s">
        <v>85</v>
      </c>
      <c r="E68" s="21">
        <f t="shared" ref="E68" si="27">VLOOKUP(D68,Subcategories, 2, FALSE)</f>
        <v>1</v>
      </c>
      <c r="F68" s="8" t="s">
        <v>86</v>
      </c>
      <c r="G68" s="21">
        <f t="shared" ref="G68" si="28">VLOOKUP(F68,Topics, 2, FALSE)</f>
        <v>5</v>
      </c>
      <c r="H68" s="17" t="s">
        <v>87</v>
      </c>
      <c r="I68" s="8" t="s">
        <v>88</v>
      </c>
      <c r="J68" s="20"/>
      <c r="K68" s="20"/>
    </row>
    <row r="69" spans="1:11" x14ac:dyDescent="0.25">
      <c r="A69" s="20">
        <f t="shared" si="22"/>
        <v>0</v>
      </c>
      <c r="B69" s="21" t="s">
        <v>1</v>
      </c>
      <c r="C69" s="21">
        <f t="shared" si="19"/>
        <v>2</v>
      </c>
      <c r="D69" s="21" t="s">
        <v>85</v>
      </c>
      <c r="E69" s="21">
        <f t="shared" si="20"/>
        <v>1</v>
      </c>
      <c r="F69" s="8" t="s">
        <v>86</v>
      </c>
      <c r="G69" s="21">
        <f t="shared" si="21"/>
        <v>5</v>
      </c>
      <c r="H69" s="17" t="s">
        <v>87</v>
      </c>
      <c r="I69" s="8" t="s">
        <v>89</v>
      </c>
      <c r="J69" s="20"/>
      <c r="K69" s="20"/>
    </row>
    <row r="70" spans="1:11" x14ac:dyDescent="0.25">
      <c r="A70" s="20">
        <f t="shared" si="22"/>
        <v>0</v>
      </c>
      <c r="B70" s="21" t="s">
        <v>1</v>
      </c>
      <c r="C70" s="21">
        <f t="shared" si="19"/>
        <v>2</v>
      </c>
      <c r="D70" s="21" t="s">
        <v>85</v>
      </c>
      <c r="E70" s="21">
        <f t="shared" si="20"/>
        <v>1</v>
      </c>
      <c r="F70" s="8" t="s">
        <v>86</v>
      </c>
      <c r="G70" s="21">
        <f t="shared" si="21"/>
        <v>5</v>
      </c>
      <c r="H70" s="17" t="s">
        <v>87</v>
      </c>
      <c r="I70" s="8" t="s">
        <v>90</v>
      </c>
      <c r="J70" s="20"/>
      <c r="K70" s="20"/>
    </row>
    <row r="71" spans="1:11" x14ac:dyDescent="0.25">
      <c r="A71" s="20">
        <f t="shared" si="22"/>
        <v>0</v>
      </c>
      <c r="B71" s="21" t="s">
        <v>1</v>
      </c>
      <c r="C71" s="21">
        <f t="shared" ref="C71:C119" si="29">VLOOKUP(B71, Categories, 2, FALSE)</f>
        <v>2</v>
      </c>
      <c r="D71" s="21" t="s">
        <v>85</v>
      </c>
      <c r="E71" s="21">
        <f t="shared" ref="E71:E119" si="30">VLOOKUP(D71,Subcategories, 2, FALSE)</f>
        <v>1</v>
      </c>
      <c r="F71" s="8" t="s">
        <v>86</v>
      </c>
      <c r="G71" s="21">
        <f t="shared" ref="G71:G119" si="31">VLOOKUP(F71,Topics, 2, FALSE)</f>
        <v>5</v>
      </c>
      <c r="H71" s="17" t="s">
        <v>87</v>
      </c>
      <c r="I71" s="8" t="s">
        <v>91</v>
      </c>
      <c r="J71" s="20"/>
      <c r="K71" s="20"/>
    </row>
    <row r="72" spans="1:11" x14ac:dyDescent="0.25">
      <c r="A72" s="20">
        <f t="shared" si="22"/>
        <v>1</v>
      </c>
      <c r="B72" s="21" t="s">
        <v>1</v>
      </c>
      <c r="C72" s="21">
        <f t="shared" si="29"/>
        <v>2</v>
      </c>
      <c r="D72" s="21" t="s">
        <v>85</v>
      </c>
      <c r="E72" s="21">
        <f t="shared" si="30"/>
        <v>1</v>
      </c>
      <c r="F72" s="21" t="s">
        <v>92</v>
      </c>
      <c r="G72" s="21">
        <f t="shared" si="31"/>
        <v>6</v>
      </c>
      <c r="H72" s="22" t="s">
        <v>93</v>
      </c>
      <c r="I72" s="8" t="s">
        <v>94</v>
      </c>
      <c r="J72" s="20"/>
      <c r="K72" s="20"/>
    </row>
    <row r="73" spans="1:11" x14ac:dyDescent="0.25">
      <c r="A73" s="20">
        <f t="shared" si="22"/>
        <v>1</v>
      </c>
      <c r="B73" s="21" t="s">
        <v>1</v>
      </c>
      <c r="C73" s="21">
        <f t="shared" ref="C73" si="32">VLOOKUP(B73, Categories, 2, FALSE)</f>
        <v>2</v>
      </c>
      <c r="D73" s="21" t="s">
        <v>85</v>
      </c>
      <c r="E73" s="21">
        <f t="shared" ref="E73" si="33">VLOOKUP(D73,Subcategories, 2, FALSE)</f>
        <v>1</v>
      </c>
      <c r="F73" s="21" t="s">
        <v>92</v>
      </c>
      <c r="G73" s="21">
        <f t="shared" ref="G73" si="34">VLOOKUP(F73,Topics, 2, FALSE)</f>
        <v>6</v>
      </c>
      <c r="H73" s="22" t="s">
        <v>93</v>
      </c>
      <c r="I73" s="8" t="s">
        <v>95</v>
      </c>
      <c r="J73" s="20"/>
      <c r="K73" s="20"/>
    </row>
    <row r="74" spans="1:11" x14ac:dyDescent="0.25">
      <c r="A74" s="20">
        <f t="shared" si="22"/>
        <v>1</v>
      </c>
      <c r="B74" s="21" t="s">
        <v>1</v>
      </c>
      <c r="C74" s="21">
        <f t="shared" ref="C74" si="35">VLOOKUP(B74, Categories, 2, FALSE)</f>
        <v>2</v>
      </c>
      <c r="D74" s="21" t="s">
        <v>85</v>
      </c>
      <c r="E74" s="21">
        <f t="shared" ref="E74" si="36">VLOOKUP(D74,Subcategories, 2, FALSE)</f>
        <v>1</v>
      </c>
      <c r="F74" s="21" t="s">
        <v>92</v>
      </c>
      <c r="G74" s="21">
        <f t="shared" ref="G74" si="37">VLOOKUP(F74,Topics, 2, FALSE)</f>
        <v>6</v>
      </c>
      <c r="H74" s="22" t="s">
        <v>93</v>
      </c>
      <c r="I74" s="8" t="s">
        <v>324</v>
      </c>
      <c r="J74" s="20"/>
      <c r="K74" s="20"/>
    </row>
    <row r="75" spans="1:11" x14ac:dyDescent="0.25">
      <c r="A75" s="20">
        <f t="shared" si="22"/>
        <v>1</v>
      </c>
      <c r="B75" s="21" t="s">
        <v>1</v>
      </c>
      <c r="C75" s="21">
        <f t="shared" ref="C75" si="38">VLOOKUP(B75, Categories, 2, FALSE)</f>
        <v>2</v>
      </c>
      <c r="D75" s="21" t="s">
        <v>85</v>
      </c>
      <c r="E75" s="21">
        <f t="shared" ref="E75" si="39">VLOOKUP(D75,Subcategories, 2, FALSE)</f>
        <v>1</v>
      </c>
      <c r="F75" s="21" t="s">
        <v>92</v>
      </c>
      <c r="G75" s="21">
        <f t="shared" ref="G75" si="40">VLOOKUP(F75,Topics, 2, FALSE)</f>
        <v>6</v>
      </c>
      <c r="H75" s="22" t="s">
        <v>93</v>
      </c>
      <c r="I75" s="8" t="s">
        <v>96</v>
      </c>
      <c r="J75" s="20"/>
      <c r="K75" s="20"/>
    </row>
    <row r="76" spans="1:11" x14ac:dyDescent="0.25">
      <c r="A76" s="20">
        <f t="shared" si="22"/>
        <v>1</v>
      </c>
      <c r="B76" s="21" t="s">
        <v>1</v>
      </c>
      <c r="C76" s="21">
        <f t="shared" si="29"/>
        <v>2</v>
      </c>
      <c r="D76" s="21" t="s">
        <v>85</v>
      </c>
      <c r="E76" s="21">
        <f t="shared" si="30"/>
        <v>1</v>
      </c>
      <c r="F76" s="21" t="s">
        <v>92</v>
      </c>
      <c r="G76" s="21">
        <f t="shared" si="31"/>
        <v>6</v>
      </c>
      <c r="H76" s="22" t="s">
        <v>93</v>
      </c>
      <c r="I76" s="8" t="s">
        <v>97</v>
      </c>
      <c r="J76" s="20"/>
      <c r="K76" s="20"/>
    </row>
    <row r="77" spans="1:11" x14ac:dyDescent="0.25">
      <c r="A77" s="20">
        <f t="shared" si="22"/>
        <v>1</v>
      </c>
      <c r="B77" s="21" t="s">
        <v>1</v>
      </c>
      <c r="C77" s="21">
        <f t="shared" ref="C77" si="41">VLOOKUP(B77, Categories, 2, FALSE)</f>
        <v>2</v>
      </c>
      <c r="D77" s="21" t="s">
        <v>85</v>
      </c>
      <c r="E77" s="21">
        <f t="shared" ref="E77" si="42">VLOOKUP(D77,Subcategories, 2, FALSE)</f>
        <v>1</v>
      </c>
      <c r="F77" s="21" t="s">
        <v>92</v>
      </c>
      <c r="G77" s="21">
        <f t="shared" ref="G77" si="43">VLOOKUP(F77,Topics, 2, FALSE)</f>
        <v>6</v>
      </c>
      <c r="H77" s="22" t="s">
        <v>93</v>
      </c>
      <c r="I77" s="8" t="s">
        <v>323</v>
      </c>
      <c r="J77" s="20"/>
      <c r="K77" s="20"/>
    </row>
    <row r="78" spans="1:11" x14ac:dyDescent="0.25">
      <c r="A78" s="20">
        <f t="shared" si="22"/>
        <v>1</v>
      </c>
      <c r="B78" s="21" t="s">
        <v>1</v>
      </c>
      <c r="C78" s="21">
        <f t="shared" ref="C78" si="44">VLOOKUP(B78, Categories, 2, FALSE)</f>
        <v>2</v>
      </c>
      <c r="D78" s="21" t="s">
        <v>85</v>
      </c>
      <c r="E78" s="21">
        <f t="shared" ref="E78" si="45">VLOOKUP(D78,Subcategories, 2, FALSE)</f>
        <v>1</v>
      </c>
      <c r="F78" s="21" t="s">
        <v>92</v>
      </c>
      <c r="G78" s="21">
        <f t="shared" ref="G78" si="46">VLOOKUP(F78,Topics, 2, FALSE)</f>
        <v>6</v>
      </c>
      <c r="H78" s="22" t="s">
        <v>93</v>
      </c>
      <c r="I78" s="8" t="s">
        <v>98</v>
      </c>
      <c r="J78" s="20"/>
      <c r="K78" s="20"/>
    </row>
    <row r="79" spans="1:11" x14ac:dyDescent="0.25">
      <c r="A79" s="20">
        <f t="shared" si="22"/>
        <v>1</v>
      </c>
      <c r="B79" s="21" t="s">
        <v>1</v>
      </c>
      <c r="C79" s="21">
        <f t="shared" si="29"/>
        <v>2</v>
      </c>
      <c r="D79" s="21" t="s">
        <v>85</v>
      </c>
      <c r="E79" s="21">
        <f t="shared" si="30"/>
        <v>1</v>
      </c>
      <c r="F79" s="21" t="s">
        <v>92</v>
      </c>
      <c r="G79" s="21">
        <f t="shared" si="31"/>
        <v>6</v>
      </c>
      <c r="H79" s="22" t="s">
        <v>93</v>
      </c>
      <c r="I79" s="8" t="s">
        <v>99</v>
      </c>
      <c r="J79" s="20"/>
      <c r="K79" s="20"/>
    </row>
    <row r="80" spans="1:11" x14ac:dyDescent="0.25">
      <c r="A80" s="20">
        <f t="shared" si="22"/>
        <v>0</v>
      </c>
      <c r="B80" s="21" t="s">
        <v>1</v>
      </c>
      <c r="C80" s="21">
        <f t="shared" si="29"/>
        <v>2</v>
      </c>
      <c r="D80" s="21" t="s">
        <v>85</v>
      </c>
      <c r="E80" s="21">
        <f t="shared" si="30"/>
        <v>1</v>
      </c>
      <c r="F80" s="21" t="s">
        <v>100</v>
      </c>
      <c r="G80" s="21">
        <f t="shared" si="31"/>
        <v>7</v>
      </c>
      <c r="H80" s="22" t="s">
        <v>101</v>
      </c>
      <c r="I80" s="8" t="s">
        <v>102</v>
      </c>
      <c r="J80" s="20"/>
      <c r="K80" s="20"/>
    </row>
    <row r="81" spans="1:11" x14ac:dyDescent="0.25">
      <c r="A81" s="20">
        <f t="shared" si="22"/>
        <v>0</v>
      </c>
      <c r="B81" s="21" t="s">
        <v>1</v>
      </c>
      <c r="C81" s="21">
        <f t="shared" si="29"/>
        <v>2</v>
      </c>
      <c r="D81" s="21" t="s">
        <v>85</v>
      </c>
      <c r="E81" s="21">
        <f t="shared" si="30"/>
        <v>1</v>
      </c>
      <c r="F81" s="21" t="s">
        <v>100</v>
      </c>
      <c r="G81" s="21">
        <f t="shared" si="31"/>
        <v>7</v>
      </c>
      <c r="H81" s="22" t="s">
        <v>101</v>
      </c>
      <c r="I81" s="8" t="s">
        <v>103</v>
      </c>
      <c r="J81" s="20"/>
      <c r="K81" s="20"/>
    </row>
    <row r="82" spans="1:11" x14ac:dyDescent="0.25">
      <c r="A82" s="20">
        <f t="shared" si="22"/>
        <v>0</v>
      </c>
      <c r="B82" s="21" t="s">
        <v>1</v>
      </c>
      <c r="C82" s="21">
        <f t="shared" si="29"/>
        <v>2</v>
      </c>
      <c r="D82" s="21" t="s">
        <v>85</v>
      </c>
      <c r="E82" s="21">
        <f t="shared" si="30"/>
        <v>1</v>
      </c>
      <c r="F82" s="21" t="s">
        <v>100</v>
      </c>
      <c r="G82" s="21">
        <f t="shared" si="31"/>
        <v>7</v>
      </c>
      <c r="H82" s="22" t="s">
        <v>101</v>
      </c>
      <c r="I82" s="8" t="s">
        <v>104</v>
      </c>
      <c r="J82" s="20"/>
      <c r="K82" s="20"/>
    </row>
    <row r="83" spans="1:11" x14ac:dyDescent="0.25">
      <c r="A83" s="20">
        <f t="shared" si="22"/>
        <v>0</v>
      </c>
      <c r="B83" s="21" t="s">
        <v>1</v>
      </c>
      <c r="C83" s="21">
        <f t="shared" si="29"/>
        <v>2</v>
      </c>
      <c r="D83" s="21" t="s">
        <v>85</v>
      </c>
      <c r="E83" s="21">
        <f t="shared" si="30"/>
        <v>1</v>
      </c>
      <c r="F83" s="21" t="s">
        <v>100</v>
      </c>
      <c r="G83" s="21">
        <f t="shared" si="31"/>
        <v>7</v>
      </c>
      <c r="H83" s="22" t="s">
        <v>101</v>
      </c>
      <c r="I83" s="8" t="s">
        <v>105</v>
      </c>
      <c r="J83" s="20"/>
      <c r="K83" s="20"/>
    </row>
    <row r="84" spans="1:11" x14ac:dyDescent="0.25">
      <c r="A84" s="20">
        <f t="shared" si="22"/>
        <v>0</v>
      </c>
      <c r="B84" s="21" t="s">
        <v>1</v>
      </c>
      <c r="C84" s="21">
        <f t="shared" si="29"/>
        <v>2</v>
      </c>
      <c r="D84" s="21" t="s">
        <v>85</v>
      </c>
      <c r="E84" s="21">
        <f t="shared" si="30"/>
        <v>1</v>
      </c>
      <c r="F84" s="21" t="s">
        <v>100</v>
      </c>
      <c r="G84" s="21">
        <f t="shared" si="31"/>
        <v>7</v>
      </c>
      <c r="H84" s="22" t="s">
        <v>101</v>
      </c>
      <c r="I84" s="8" t="s">
        <v>106</v>
      </c>
      <c r="J84" s="20"/>
      <c r="K84" s="20"/>
    </row>
    <row r="85" spans="1:11" x14ac:dyDescent="0.25">
      <c r="A85" s="20">
        <f t="shared" si="22"/>
        <v>0</v>
      </c>
      <c r="B85" s="21" t="s">
        <v>1</v>
      </c>
      <c r="C85" s="21">
        <f t="shared" si="29"/>
        <v>2</v>
      </c>
      <c r="D85" s="21" t="s">
        <v>85</v>
      </c>
      <c r="E85" s="21">
        <f t="shared" si="30"/>
        <v>1</v>
      </c>
      <c r="F85" s="21" t="s">
        <v>100</v>
      </c>
      <c r="G85" s="21">
        <f t="shared" si="31"/>
        <v>7</v>
      </c>
      <c r="H85" s="22" t="s">
        <v>101</v>
      </c>
      <c r="I85" s="8" t="s">
        <v>107</v>
      </c>
      <c r="J85" s="20"/>
      <c r="K85" s="20"/>
    </row>
    <row r="86" spans="1:11" x14ac:dyDescent="0.25">
      <c r="A86" s="20">
        <f t="shared" si="22"/>
        <v>0</v>
      </c>
      <c r="B86" s="21" t="s">
        <v>1</v>
      </c>
      <c r="C86" s="21">
        <f t="shared" si="29"/>
        <v>2</v>
      </c>
      <c r="D86" s="21" t="s">
        <v>85</v>
      </c>
      <c r="E86" s="21">
        <f t="shared" si="30"/>
        <v>1</v>
      </c>
      <c r="F86" s="21" t="s">
        <v>100</v>
      </c>
      <c r="G86" s="21">
        <f t="shared" si="31"/>
        <v>7</v>
      </c>
      <c r="H86" s="22" t="s">
        <v>101</v>
      </c>
      <c r="I86" s="8" t="s">
        <v>108</v>
      </c>
      <c r="J86" s="20"/>
      <c r="K86" s="20"/>
    </row>
    <row r="87" spans="1:11" x14ac:dyDescent="0.25">
      <c r="A87" s="20">
        <f t="shared" si="22"/>
        <v>0</v>
      </c>
      <c r="B87" s="21" t="s">
        <v>1</v>
      </c>
      <c r="C87" s="21">
        <f t="shared" si="29"/>
        <v>2</v>
      </c>
      <c r="D87" s="21" t="s">
        <v>85</v>
      </c>
      <c r="E87" s="21">
        <f t="shared" si="30"/>
        <v>1</v>
      </c>
      <c r="F87" s="21" t="s">
        <v>100</v>
      </c>
      <c r="G87" s="21">
        <f t="shared" si="31"/>
        <v>7</v>
      </c>
      <c r="H87" s="22" t="s">
        <v>101</v>
      </c>
      <c r="I87" s="8" t="s">
        <v>334</v>
      </c>
      <c r="J87" s="20"/>
      <c r="K87" s="20"/>
    </row>
    <row r="88" spans="1:11" x14ac:dyDescent="0.25">
      <c r="A88" s="20">
        <f t="shared" si="22"/>
        <v>0</v>
      </c>
      <c r="B88" s="21" t="s">
        <v>1</v>
      </c>
      <c r="C88" s="21">
        <f t="shared" ref="C88" si="47">VLOOKUP(B88, Categories, 2, FALSE)</f>
        <v>2</v>
      </c>
      <c r="D88" s="21" t="s">
        <v>85</v>
      </c>
      <c r="E88" s="21">
        <f t="shared" ref="E88" si="48">VLOOKUP(D88,Subcategories, 2, FALSE)</f>
        <v>1</v>
      </c>
      <c r="F88" s="21" t="s">
        <v>100</v>
      </c>
      <c r="G88" s="21">
        <f t="shared" ref="G88" si="49">VLOOKUP(F88,Topics, 2, FALSE)</f>
        <v>7</v>
      </c>
      <c r="H88" s="22" t="s">
        <v>101</v>
      </c>
      <c r="I88" s="8" t="s">
        <v>336</v>
      </c>
      <c r="J88" s="20"/>
      <c r="K88" s="20"/>
    </row>
    <row r="89" spans="1:11" x14ac:dyDescent="0.25">
      <c r="A89" s="20">
        <f t="shared" si="22"/>
        <v>0</v>
      </c>
      <c r="B89" s="21" t="s">
        <v>1</v>
      </c>
      <c r="C89" s="21">
        <f t="shared" ref="C89" si="50">VLOOKUP(B89, Categories, 2, FALSE)</f>
        <v>2</v>
      </c>
      <c r="D89" s="21" t="s">
        <v>85</v>
      </c>
      <c r="E89" s="21">
        <f t="shared" ref="E89" si="51">VLOOKUP(D89,Subcategories, 2, FALSE)</f>
        <v>1</v>
      </c>
      <c r="F89" s="21" t="s">
        <v>100</v>
      </c>
      <c r="G89" s="21">
        <f t="shared" ref="G89" si="52">VLOOKUP(F89,Topics, 2, FALSE)</f>
        <v>7</v>
      </c>
      <c r="H89" s="22" t="s">
        <v>101</v>
      </c>
      <c r="I89" s="8" t="s">
        <v>335</v>
      </c>
      <c r="J89" s="20"/>
      <c r="K89" s="20"/>
    </row>
    <row r="90" spans="1:11" x14ac:dyDescent="0.25">
      <c r="A90" s="20">
        <f t="shared" si="22"/>
        <v>0</v>
      </c>
      <c r="B90" s="21" t="s">
        <v>1</v>
      </c>
      <c r="C90" s="21">
        <f t="shared" ref="C90" si="53">VLOOKUP(B90, Categories, 2, FALSE)</f>
        <v>2</v>
      </c>
      <c r="D90" s="21" t="s">
        <v>85</v>
      </c>
      <c r="E90" s="21">
        <f t="shared" ref="E90" si="54">VLOOKUP(D90,Subcategories, 2, FALSE)</f>
        <v>1</v>
      </c>
      <c r="F90" s="21" t="s">
        <v>100</v>
      </c>
      <c r="G90" s="21">
        <f t="shared" ref="G90" si="55">VLOOKUP(F90,Topics, 2, FALSE)</f>
        <v>7</v>
      </c>
      <c r="H90" s="22" t="s">
        <v>101</v>
      </c>
      <c r="I90" s="8" t="s">
        <v>109</v>
      </c>
      <c r="J90" s="20"/>
      <c r="K90" s="20"/>
    </row>
    <row r="91" spans="1:11" x14ac:dyDescent="0.25">
      <c r="A91" s="20">
        <f t="shared" si="22"/>
        <v>0</v>
      </c>
      <c r="B91" s="21" t="s">
        <v>1</v>
      </c>
      <c r="C91" s="21">
        <f t="shared" si="29"/>
        <v>2</v>
      </c>
      <c r="D91" s="21" t="s">
        <v>85</v>
      </c>
      <c r="E91" s="21">
        <f t="shared" si="30"/>
        <v>1</v>
      </c>
      <c r="F91" s="21" t="s">
        <v>100</v>
      </c>
      <c r="G91" s="21">
        <f t="shared" si="31"/>
        <v>7</v>
      </c>
      <c r="H91" s="22" t="s">
        <v>101</v>
      </c>
      <c r="I91" s="8" t="s">
        <v>326</v>
      </c>
      <c r="J91" s="20"/>
      <c r="K91" s="20"/>
    </row>
    <row r="92" spans="1:11" x14ac:dyDescent="0.25">
      <c r="A92" s="20">
        <f t="shared" si="22"/>
        <v>0</v>
      </c>
      <c r="B92" s="21" t="s">
        <v>1</v>
      </c>
      <c r="C92" s="21">
        <f t="shared" ref="C92" si="56">VLOOKUP(B92, Categories, 2, FALSE)</f>
        <v>2</v>
      </c>
      <c r="D92" s="21" t="s">
        <v>85</v>
      </c>
      <c r="E92" s="21">
        <f t="shared" ref="E92" si="57">VLOOKUP(D92,Subcategories, 2, FALSE)</f>
        <v>1</v>
      </c>
      <c r="F92" s="21" t="s">
        <v>100</v>
      </c>
      <c r="G92" s="21">
        <f t="shared" ref="G92" si="58">VLOOKUP(F92,Topics, 2, FALSE)</f>
        <v>7</v>
      </c>
      <c r="H92" s="22" t="s">
        <v>101</v>
      </c>
      <c r="I92" s="8" t="s">
        <v>339</v>
      </c>
      <c r="J92" s="20"/>
      <c r="K92" s="20"/>
    </row>
    <row r="93" spans="1:11" x14ac:dyDescent="0.25">
      <c r="A93" s="20">
        <f t="shared" si="22"/>
        <v>0</v>
      </c>
      <c r="B93" s="21" t="s">
        <v>1</v>
      </c>
      <c r="C93" s="21">
        <f t="shared" ref="C93" si="59">VLOOKUP(B93, Categories, 2, FALSE)</f>
        <v>2</v>
      </c>
      <c r="D93" s="21" t="s">
        <v>85</v>
      </c>
      <c r="E93" s="21">
        <f t="shared" ref="E93" si="60">VLOOKUP(D93,Subcategories, 2, FALSE)</f>
        <v>1</v>
      </c>
      <c r="F93" s="21" t="s">
        <v>100</v>
      </c>
      <c r="G93" s="21">
        <f t="shared" ref="G93" si="61">VLOOKUP(F93,Topics, 2, FALSE)</f>
        <v>7</v>
      </c>
      <c r="H93" s="22" t="s">
        <v>101</v>
      </c>
      <c r="I93" s="8" t="s">
        <v>340</v>
      </c>
      <c r="J93" s="20"/>
      <c r="K93" s="20"/>
    </row>
    <row r="94" spans="1:11" x14ac:dyDescent="0.25">
      <c r="A94" s="20">
        <f t="shared" si="22"/>
        <v>0</v>
      </c>
      <c r="B94" s="21" t="s">
        <v>1</v>
      </c>
      <c r="C94" s="21">
        <f t="shared" ref="C94" si="62">VLOOKUP(B94, Categories, 2, FALSE)</f>
        <v>2</v>
      </c>
      <c r="D94" s="21" t="s">
        <v>85</v>
      </c>
      <c r="E94" s="21">
        <f t="shared" ref="E94" si="63">VLOOKUP(D94,Subcategories, 2, FALSE)</f>
        <v>1</v>
      </c>
      <c r="F94" s="21" t="s">
        <v>100</v>
      </c>
      <c r="G94" s="21">
        <f t="shared" ref="G94" si="64">VLOOKUP(F94,Topics, 2, FALSE)</f>
        <v>7</v>
      </c>
      <c r="H94" s="22" t="s">
        <v>101</v>
      </c>
      <c r="I94" s="8" t="s">
        <v>341</v>
      </c>
      <c r="J94" s="20"/>
      <c r="K94" s="20"/>
    </row>
    <row r="95" spans="1:11" x14ac:dyDescent="0.25">
      <c r="A95" s="20">
        <f t="shared" si="22"/>
        <v>0</v>
      </c>
      <c r="B95" s="21" t="s">
        <v>1</v>
      </c>
      <c r="C95" s="21">
        <f t="shared" ref="C95" si="65">VLOOKUP(B95, Categories, 2, FALSE)</f>
        <v>2</v>
      </c>
      <c r="D95" s="21" t="s">
        <v>85</v>
      </c>
      <c r="E95" s="21">
        <f t="shared" ref="E95" si="66">VLOOKUP(D95,Subcategories, 2, FALSE)</f>
        <v>1</v>
      </c>
      <c r="F95" s="21" t="s">
        <v>100</v>
      </c>
      <c r="G95" s="21">
        <f t="shared" ref="G95" si="67">VLOOKUP(F95,Topics, 2, FALSE)</f>
        <v>7</v>
      </c>
      <c r="H95" s="22" t="s">
        <v>101</v>
      </c>
      <c r="I95" s="8" t="s">
        <v>338</v>
      </c>
      <c r="J95" s="20"/>
      <c r="K95" s="20"/>
    </row>
    <row r="96" spans="1:11" x14ac:dyDescent="0.25">
      <c r="A96" s="20">
        <f t="shared" si="22"/>
        <v>0</v>
      </c>
      <c r="B96" s="21" t="s">
        <v>1</v>
      </c>
      <c r="C96" s="21">
        <f t="shared" ref="C96" si="68">VLOOKUP(B96, Categories, 2, FALSE)</f>
        <v>2</v>
      </c>
      <c r="D96" s="21" t="s">
        <v>85</v>
      </c>
      <c r="E96" s="21">
        <f t="shared" ref="E96" si="69">VLOOKUP(D96,Subcategories, 2, FALSE)</f>
        <v>1</v>
      </c>
      <c r="F96" s="21" t="s">
        <v>100</v>
      </c>
      <c r="G96" s="21">
        <f t="shared" ref="G96" si="70">VLOOKUP(F96,Topics, 2, FALSE)</f>
        <v>7</v>
      </c>
      <c r="H96" s="22" t="s">
        <v>101</v>
      </c>
      <c r="I96" s="8" t="s">
        <v>337</v>
      </c>
      <c r="J96" s="20"/>
      <c r="K96" s="20"/>
    </row>
    <row r="97" spans="1:11" x14ac:dyDescent="0.25">
      <c r="A97" s="20">
        <f t="shared" si="22"/>
        <v>0</v>
      </c>
      <c r="B97" s="21" t="s">
        <v>1</v>
      </c>
      <c r="C97" s="21">
        <f t="shared" ref="C97" si="71">VLOOKUP(B97, Categories, 2, FALSE)</f>
        <v>2</v>
      </c>
      <c r="D97" s="21" t="s">
        <v>85</v>
      </c>
      <c r="E97" s="21">
        <f t="shared" ref="E97" si="72">VLOOKUP(D97,Subcategories, 2, FALSE)</f>
        <v>1</v>
      </c>
      <c r="F97" s="21" t="s">
        <v>100</v>
      </c>
      <c r="G97" s="21">
        <f t="shared" ref="G97" si="73">VLOOKUP(F97,Topics, 2, FALSE)</f>
        <v>7</v>
      </c>
      <c r="H97" s="22" t="s">
        <v>101</v>
      </c>
      <c r="I97" s="8" t="s">
        <v>328</v>
      </c>
      <c r="J97" s="20"/>
      <c r="K97" s="20"/>
    </row>
    <row r="98" spans="1:11" x14ac:dyDescent="0.25">
      <c r="A98" s="20">
        <f t="shared" si="22"/>
        <v>0</v>
      </c>
      <c r="B98" s="21" t="s">
        <v>1</v>
      </c>
      <c r="C98" s="21">
        <f t="shared" ref="C98" si="74">VLOOKUP(B98, Categories, 2, FALSE)</f>
        <v>2</v>
      </c>
      <c r="D98" s="21" t="s">
        <v>85</v>
      </c>
      <c r="E98" s="21">
        <f t="shared" ref="E98" si="75">VLOOKUP(D98,Subcategories, 2, FALSE)</f>
        <v>1</v>
      </c>
      <c r="F98" s="21" t="s">
        <v>100</v>
      </c>
      <c r="G98" s="21">
        <f t="shared" ref="G98" si="76">VLOOKUP(F98,Topics, 2, FALSE)</f>
        <v>7</v>
      </c>
      <c r="H98" s="22" t="s">
        <v>101</v>
      </c>
      <c r="I98" s="8" t="s">
        <v>330</v>
      </c>
      <c r="J98" s="20"/>
      <c r="K98" s="20"/>
    </row>
    <row r="99" spans="1:11" x14ac:dyDescent="0.25">
      <c r="A99" s="20">
        <f t="shared" si="22"/>
        <v>0</v>
      </c>
      <c r="B99" s="21" t="s">
        <v>1</v>
      </c>
      <c r="C99" s="21">
        <f t="shared" ref="C99" si="77">VLOOKUP(B99, Categories, 2, FALSE)</f>
        <v>2</v>
      </c>
      <c r="D99" s="21" t="s">
        <v>85</v>
      </c>
      <c r="E99" s="21">
        <f t="shared" ref="E99" si="78">VLOOKUP(D99,Subcategories, 2, FALSE)</f>
        <v>1</v>
      </c>
      <c r="F99" s="21" t="s">
        <v>100</v>
      </c>
      <c r="G99" s="21">
        <f t="shared" ref="G99" si="79">VLOOKUP(F99,Topics, 2, FALSE)</f>
        <v>7</v>
      </c>
      <c r="H99" s="22" t="s">
        <v>101</v>
      </c>
      <c r="I99" s="8" t="s">
        <v>331</v>
      </c>
      <c r="J99" s="20"/>
      <c r="K99" s="20"/>
    </row>
    <row r="100" spans="1:11" x14ac:dyDescent="0.25">
      <c r="A100" s="20">
        <f t="shared" si="22"/>
        <v>0</v>
      </c>
      <c r="B100" s="21" t="s">
        <v>1</v>
      </c>
      <c r="C100" s="21">
        <f t="shared" ref="C100" si="80">VLOOKUP(B100, Categories, 2, FALSE)</f>
        <v>2</v>
      </c>
      <c r="D100" s="21" t="s">
        <v>85</v>
      </c>
      <c r="E100" s="21">
        <f t="shared" ref="E100" si="81">VLOOKUP(D100,Subcategories, 2, FALSE)</f>
        <v>1</v>
      </c>
      <c r="F100" s="21" t="s">
        <v>100</v>
      </c>
      <c r="G100" s="21">
        <f t="shared" ref="G100" si="82">VLOOKUP(F100,Topics, 2, FALSE)</f>
        <v>7</v>
      </c>
      <c r="H100" s="22" t="s">
        <v>332</v>
      </c>
      <c r="I100" s="8" t="s">
        <v>333</v>
      </c>
      <c r="J100" s="20"/>
      <c r="K100" s="20"/>
    </row>
    <row r="101" spans="1:11" x14ac:dyDescent="0.25">
      <c r="A101" s="20">
        <f t="shared" si="22"/>
        <v>0</v>
      </c>
      <c r="B101" s="21" t="s">
        <v>1</v>
      </c>
      <c r="C101" s="21">
        <f t="shared" ref="C101" si="83">VLOOKUP(B101, Categories, 2, FALSE)</f>
        <v>2</v>
      </c>
      <c r="D101" s="21" t="s">
        <v>85</v>
      </c>
      <c r="E101" s="21">
        <f t="shared" ref="E101" si="84">VLOOKUP(D101,Subcategories, 2, FALSE)</f>
        <v>1</v>
      </c>
      <c r="F101" s="21" t="s">
        <v>100</v>
      </c>
      <c r="G101" s="21">
        <f t="shared" ref="G101" si="85">VLOOKUP(F101,Topics, 2, FALSE)</f>
        <v>7</v>
      </c>
      <c r="H101" s="22" t="s">
        <v>332</v>
      </c>
      <c r="I101" s="8" t="s">
        <v>329</v>
      </c>
      <c r="J101" s="20"/>
      <c r="K101" s="20"/>
    </row>
    <row r="102" spans="1:11" x14ac:dyDescent="0.25">
      <c r="A102" s="20">
        <f t="shared" si="22"/>
        <v>0</v>
      </c>
      <c r="B102" s="21" t="s">
        <v>1</v>
      </c>
      <c r="C102" s="21">
        <f t="shared" ref="C102" si="86">VLOOKUP(B102, Categories, 2, FALSE)</f>
        <v>2</v>
      </c>
      <c r="D102" s="21" t="s">
        <v>85</v>
      </c>
      <c r="E102" s="21">
        <f t="shared" ref="E102" si="87">VLOOKUP(D102,Subcategories, 2, FALSE)</f>
        <v>1</v>
      </c>
      <c r="F102" s="21" t="s">
        <v>100</v>
      </c>
      <c r="G102" s="21">
        <f t="shared" ref="G102" si="88">VLOOKUP(F102,Topics, 2, FALSE)</f>
        <v>7</v>
      </c>
      <c r="H102" s="22" t="s">
        <v>101</v>
      </c>
      <c r="I102" s="8" t="s">
        <v>327</v>
      </c>
      <c r="J102" s="20"/>
      <c r="K102" s="20"/>
    </row>
    <row r="103" spans="1:11" x14ac:dyDescent="0.25">
      <c r="A103" s="20">
        <f t="shared" si="22"/>
        <v>0</v>
      </c>
      <c r="B103" s="21" t="s">
        <v>1</v>
      </c>
      <c r="C103" s="21">
        <f t="shared" ref="C103" si="89">VLOOKUP(B103, Categories, 2, FALSE)</f>
        <v>2</v>
      </c>
      <c r="D103" s="21" t="s">
        <v>85</v>
      </c>
      <c r="E103" s="21">
        <f t="shared" ref="E103" si="90">VLOOKUP(D103,Subcategories, 2, FALSE)</f>
        <v>1</v>
      </c>
      <c r="F103" s="21" t="s">
        <v>100</v>
      </c>
      <c r="G103" s="21">
        <f t="shared" ref="G103" si="91">VLOOKUP(F103,Topics, 2, FALSE)</f>
        <v>7</v>
      </c>
      <c r="H103" s="22" t="s">
        <v>101</v>
      </c>
      <c r="I103" s="8" t="s">
        <v>317</v>
      </c>
      <c r="J103" s="20"/>
      <c r="K103" s="20"/>
    </row>
    <row r="104" spans="1:11" x14ac:dyDescent="0.25">
      <c r="A104" s="20">
        <f t="shared" si="22"/>
        <v>1</v>
      </c>
      <c r="B104" s="21" t="s">
        <v>1</v>
      </c>
      <c r="C104" s="21">
        <f t="shared" si="29"/>
        <v>2</v>
      </c>
      <c r="D104" s="18" t="s">
        <v>354</v>
      </c>
      <c r="E104" s="21">
        <f t="shared" si="30"/>
        <v>2</v>
      </c>
      <c r="F104" s="8" t="s">
        <v>117</v>
      </c>
      <c r="G104" s="21">
        <f t="shared" si="31"/>
        <v>11</v>
      </c>
      <c r="H104" s="22" t="s">
        <v>118</v>
      </c>
      <c r="I104" s="8" t="s">
        <v>119</v>
      </c>
      <c r="J104" s="20"/>
      <c r="K104" s="20"/>
    </row>
    <row r="105" spans="1:11" x14ac:dyDescent="0.25">
      <c r="A105" s="20">
        <f t="shared" si="22"/>
        <v>1</v>
      </c>
      <c r="B105" s="21" t="s">
        <v>1</v>
      </c>
      <c r="C105" s="21">
        <f t="shared" si="29"/>
        <v>2</v>
      </c>
      <c r="D105" s="18" t="s">
        <v>354</v>
      </c>
      <c r="E105" s="21">
        <f t="shared" si="30"/>
        <v>2</v>
      </c>
      <c r="F105" s="8" t="s">
        <v>117</v>
      </c>
      <c r="G105" s="21">
        <f t="shared" si="31"/>
        <v>11</v>
      </c>
      <c r="H105" s="22" t="s">
        <v>118</v>
      </c>
      <c r="I105" s="8" t="s">
        <v>120</v>
      </c>
      <c r="J105" s="20"/>
      <c r="K105" s="20"/>
    </row>
    <row r="106" spans="1:11" x14ac:dyDescent="0.25">
      <c r="A106" s="20">
        <f t="shared" si="22"/>
        <v>1</v>
      </c>
      <c r="B106" s="21" t="s">
        <v>1</v>
      </c>
      <c r="C106" s="21">
        <f t="shared" si="29"/>
        <v>2</v>
      </c>
      <c r="D106" s="18" t="s">
        <v>354</v>
      </c>
      <c r="E106" s="21">
        <f t="shared" si="30"/>
        <v>2</v>
      </c>
      <c r="F106" s="8" t="s">
        <v>117</v>
      </c>
      <c r="G106" s="21">
        <f t="shared" si="31"/>
        <v>11</v>
      </c>
      <c r="H106" s="22" t="s">
        <v>118</v>
      </c>
      <c r="I106" s="8" t="s">
        <v>325</v>
      </c>
      <c r="J106" s="20"/>
      <c r="K106" s="20"/>
    </row>
    <row r="107" spans="1:11" x14ac:dyDescent="0.25">
      <c r="A107" s="20">
        <f t="shared" si="22"/>
        <v>1</v>
      </c>
      <c r="B107" s="21" t="s">
        <v>1</v>
      </c>
      <c r="C107" s="21">
        <f t="shared" si="29"/>
        <v>2</v>
      </c>
      <c r="D107" s="18" t="s">
        <v>354</v>
      </c>
      <c r="E107" s="21">
        <f t="shared" si="30"/>
        <v>2</v>
      </c>
      <c r="F107" s="8" t="s">
        <v>117</v>
      </c>
      <c r="G107" s="21">
        <f t="shared" si="31"/>
        <v>11</v>
      </c>
      <c r="H107" s="22" t="s">
        <v>118</v>
      </c>
      <c r="I107" s="8" t="s">
        <v>121</v>
      </c>
      <c r="J107" s="20"/>
      <c r="K107" s="20"/>
    </row>
    <row r="108" spans="1:11" x14ac:dyDescent="0.25">
      <c r="A108" s="20">
        <f t="shared" si="22"/>
        <v>1</v>
      </c>
      <c r="B108" s="21" t="s">
        <v>1</v>
      </c>
      <c r="C108" s="21">
        <f t="shared" si="29"/>
        <v>2</v>
      </c>
      <c r="D108" s="18" t="s">
        <v>354</v>
      </c>
      <c r="E108" s="21">
        <f t="shared" si="30"/>
        <v>2</v>
      </c>
      <c r="F108" s="8" t="s">
        <v>117</v>
      </c>
      <c r="G108" s="21">
        <f t="shared" si="31"/>
        <v>11</v>
      </c>
      <c r="H108" s="22" t="s">
        <v>118</v>
      </c>
      <c r="I108" s="8" t="s">
        <v>122</v>
      </c>
      <c r="J108" s="20"/>
      <c r="K108" s="20"/>
    </row>
    <row r="109" spans="1:11" x14ac:dyDescent="0.25">
      <c r="A109" s="20">
        <f t="shared" si="22"/>
        <v>1</v>
      </c>
      <c r="B109" s="21" t="s">
        <v>1</v>
      </c>
      <c r="C109" s="21">
        <f t="shared" si="29"/>
        <v>2</v>
      </c>
      <c r="D109" s="18" t="s">
        <v>354</v>
      </c>
      <c r="E109" s="21">
        <f t="shared" si="30"/>
        <v>2</v>
      </c>
      <c r="F109" s="8" t="s">
        <v>117</v>
      </c>
      <c r="G109" s="21">
        <f t="shared" si="31"/>
        <v>11</v>
      </c>
      <c r="H109" s="22" t="s">
        <v>118</v>
      </c>
      <c r="I109" s="8" t="s">
        <v>123</v>
      </c>
      <c r="J109" s="20"/>
      <c r="K109" s="20"/>
    </row>
    <row r="110" spans="1:11" x14ac:dyDescent="0.25">
      <c r="A110" s="20">
        <f t="shared" si="22"/>
        <v>1</v>
      </c>
      <c r="B110" s="21" t="s">
        <v>1</v>
      </c>
      <c r="C110" s="21">
        <f t="shared" si="29"/>
        <v>2</v>
      </c>
      <c r="D110" s="18" t="s">
        <v>354</v>
      </c>
      <c r="E110" s="21">
        <f t="shared" si="30"/>
        <v>2</v>
      </c>
      <c r="F110" s="8" t="s">
        <v>117</v>
      </c>
      <c r="G110" s="21">
        <f t="shared" si="31"/>
        <v>11</v>
      </c>
      <c r="H110" s="22" t="s">
        <v>118</v>
      </c>
      <c r="I110" s="8" t="s">
        <v>124</v>
      </c>
      <c r="J110" s="20"/>
      <c r="K110" s="20"/>
    </row>
    <row r="111" spans="1:11" x14ac:dyDescent="0.25">
      <c r="A111" s="20">
        <f t="shared" si="22"/>
        <v>1</v>
      </c>
      <c r="B111" s="21" t="s">
        <v>1</v>
      </c>
      <c r="C111" s="21">
        <f t="shared" si="29"/>
        <v>2</v>
      </c>
      <c r="D111" s="18" t="s">
        <v>354</v>
      </c>
      <c r="E111" s="21">
        <f t="shared" si="30"/>
        <v>2</v>
      </c>
      <c r="F111" s="8" t="s">
        <v>117</v>
      </c>
      <c r="G111" s="21">
        <f t="shared" si="31"/>
        <v>11</v>
      </c>
      <c r="H111" s="22" t="s">
        <v>118</v>
      </c>
      <c r="I111" s="8" t="s">
        <v>125</v>
      </c>
      <c r="J111" s="20"/>
      <c r="K111" s="20"/>
    </row>
    <row r="112" spans="1:11" x14ac:dyDescent="0.25">
      <c r="A112" s="20">
        <f t="shared" si="22"/>
        <v>1</v>
      </c>
      <c r="B112" s="21" t="s">
        <v>1</v>
      </c>
      <c r="C112" s="21">
        <f t="shared" si="29"/>
        <v>2</v>
      </c>
      <c r="D112" s="18" t="s">
        <v>354</v>
      </c>
      <c r="E112" s="21">
        <f t="shared" si="30"/>
        <v>2</v>
      </c>
      <c r="F112" s="8" t="s">
        <v>117</v>
      </c>
      <c r="G112" s="21">
        <f t="shared" si="31"/>
        <v>11</v>
      </c>
      <c r="H112" s="22" t="s">
        <v>118</v>
      </c>
      <c r="I112" s="8" t="s">
        <v>126</v>
      </c>
      <c r="J112" s="20"/>
      <c r="K112" s="20"/>
    </row>
    <row r="113" spans="1:11" x14ac:dyDescent="0.25">
      <c r="A113" s="20">
        <f t="shared" si="22"/>
        <v>1</v>
      </c>
      <c r="B113" s="21" t="s">
        <v>1</v>
      </c>
      <c r="C113" s="21">
        <f t="shared" si="29"/>
        <v>2</v>
      </c>
      <c r="D113" s="18" t="s">
        <v>354</v>
      </c>
      <c r="E113" s="21">
        <f t="shared" si="30"/>
        <v>2</v>
      </c>
      <c r="F113" s="8" t="s">
        <v>117</v>
      </c>
      <c r="G113" s="21">
        <f t="shared" si="31"/>
        <v>11</v>
      </c>
      <c r="H113" s="22" t="s">
        <v>118</v>
      </c>
      <c r="I113" s="8" t="s">
        <v>127</v>
      </c>
      <c r="J113" s="20"/>
      <c r="K113" s="20"/>
    </row>
    <row r="114" spans="1:11" x14ac:dyDescent="0.25">
      <c r="A114" s="20">
        <f t="shared" si="22"/>
        <v>0</v>
      </c>
      <c r="B114" s="21" t="s">
        <v>1</v>
      </c>
      <c r="C114" s="21">
        <f t="shared" si="29"/>
        <v>2</v>
      </c>
      <c r="D114" s="18" t="s">
        <v>354</v>
      </c>
      <c r="E114" s="21">
        <f t="shared" si="30"/>
        <v>2</v>
      </c>
      <c r="F114" s="8" t="s">
        <v>128</v>
      </c>
      <c r="G114" s="21">
        <f t="shared" si="31"/>
        <v>12</v>
      </c>
      <c r="H114" s="22" t="s">
        <v>118</v>
      </c>
      <c r="I114" s="8" t="s">
        <v>129</v>
      </c>
      <c r="J114" s="20"/>
      <c r="K114" s="20"/>
    </row>
    <row r="115" spans="1:11" x14ac:dyDescent="0.25">
      <c r="A115" s="20">
        <f t="shared" si="22"/>
        <v>0</v>
      </c>
      <c r="B115" s="21" t="s">
        <v>1</v>
      </c>
      <c r="C115" s="21">
        <f t="shared" si="29"/>
        <v>2</v>
      </c>
      <c r="D115" s="18" t="s">
        <v>354</v>
      </c>
      <c r="E115" s="21">
        <f t="shared" si="30"/>
        <v>2</v>
      </c>
      <c r="F115" s="8" t="s">
        <v>128</v>
      </c>
      <c r="G115" s="21">
        <f t="shared" si="31"/>
        <v>12</v>
      </c>
      <c r="H115" s="22" t="s">
        <v>118</v>
      </c>
      <c r="I115" s="8" t="s">
        <v>130</v>
      </c>
      <c r="J115" s="20"/>
      <c r="K115" s="20"/>
    </row>
    <row r="116" spans="1:11" x14ac:dyDescent="0.25">
      <c r="A116" s="20">
        <f t="shared" si="22"/>
        <v>0</v>
      </c>
      <c r="B116" s="21" t="s">
        <v>1</v>
      </c>
      <c r="C116" s="21">
        <f t="shared" si="29"/>
        <v>2</v>
      </c>
      <c r="D116" s="18" t="s">
        <v>354</v>
      </c>
      <c r="E116" s="21">
        <f t="shared" si="30"/>
        <v>2</v>
      </c>
      <c r="F116" s="8" t="s">
        <v>128</v>
      </c>
      <c r="G116" s="21">
        <f t="shared" si="31"/>
        <v>12</v>
      </c>
      <c r="H116" s="22" t="s">
        <v>118</v>
      </c>
      <c r="I116" s="8" t="s">
        <v>131</v>
      </c>
      <c r="J116" s="20"/>
      <c r="K116" s="20"/>
    </row>
    <row r="117" spans="1:11" x14ac:dyDescent="0.25">
      <c r="A117" s="20">
        <f t="shared" si="22"/>
        <v>0</v>
      </c>
      <c r="B117" s="21" t="s">
        <v>1</v>
      </c>
      <c r="C117" s="21">
        <f t="shared" si="29"/>
        <v>2</v>
      </c>
      <c r="D117" s="18" t="s">
        <v>354</v>
      </c>
      <c r="E117" s="21">
        <f t="shared" si="30"/>
        <v>2</v>
      </c>
      <c r="F117" s="8" t="s">
        <v>128</v>
      </c>
      <c r="G117" s="21">
        <f t="shared" si="31"/>
        <v>12</v>
      </c>
      <c r="H117" s="22" t="s">
        <v>118</v>
      </c>
      <c r="I117" s="8" t="s">
        <v>132</v>
      </c>
      <c r="J117" s="20"/>
      <c r="K117" s="20"/>
    </row>
    <row r="118" spans="1:11" x14ac:dyDescent="0.25">
      <c r="A118" s="20">
        <f t="shared" si="22"/>
        <v>0</v>
      </c>
      <c r="B118" s="21" t="s">
        <v>1</v>
      </c>
      <c r="C118" s="21">
        <f t="shared" si="29"/>
        <v>2</v>
      </c>
      <c r="D118" s="18" t="s">
        <v>354</v>
      </c>
      <c r="E118" s="21">
        <f t="shared" si="30"/>
        <v>2</v>
      </c>
      <c r="F118" s="8" t="s">
        <v>128</v>
      </c>
      <c r="G118" s="21">
        <f t="shared" si="31"/>
        <v>12</v>
      </c>
      <c r="H118" s="22" t="s">
        <v>118</v>
      </c>
      <c r="I118" s="8" t="s">
        <v>133</v>
      </c>
      <c r="J118" s="20"/>
      <c r="K118" s="20"/>
    </row>
    <row r="119" spans="1:11" x14ac:dyDescent="0.25">
      <c r="A119" s="20">
        <f t="shared" si="22"/>
        <v>0</v>
      </c>
      <c r="B119" s="21" t="s">
        <v>1</v>
      </c>
      <c r="C119" s="21">
        <f t="shared" si="29"/>
        <v>2</v>
      </c>
      <c r="D119" s="18" t="s">
        <v>354</v>
      </c>
      <c r="E119" s="21">
        <f t="shared" si="30"/>
        <v>2</v>
      </c>
      <c r="F119" s="8" t="s">
        <v>128</v>
      </c>
      <c r="G119" s="21">
        <f t="shared" si="31"/>
        <v>12</v>
      </c>
      <c r="H119" s="22" t="s">
        <v>118</v>
      </c>
      <c r="I119" s="8" t="s">
        <v>134</v>
      </c>
      <c r="J119" s="20"/>
      <c r="K119" s="20"/>
    </row>
    <row r="120" spans="1:11" x14ac:dyDescent="0.25">
      <c r="A120" s="20">
        <f t="shared" si="22"/>
        <v>0</v>
      </c>
      <c r="B120" s="21" t="s">
        <v>1</v>
      </c>
      <c r="C120" s="21">
        <f t="shared" ref="C120:C122" si="92">VLOOKUP(B120, Categories, 2, FALSE)</f>
        <v>2</v>
      </c>
      <c r="D120" s="18" t="s">
        <v>354</v>
      </c>
      <c r="E120" s="21">
        <f t="shared" ref="E120:E122" si="93">VLOOKUP(D120,Subcategories, 2, FALSE)</f>
        <v>2</v>
      </c>
      <c r="F120" s="8" t="s">
        <v>128</v>
      </c>
      <c r="G120" s="21">
        <f t="shared" ref="G120:G122" si="94">VLOOKUP(F120,Topics, 2, FALSE)</f>
        <v>12</v>
      </c>
      <c r="H120" s="22" t="s">
        <v>118</v>
      </c>
      <c r="I120" s="8" t="s">
        <v>135</v>
      </c>
      <c r="J120" s="20"/>
      <c r="K120" s="20"/>
    </row>
    <row r="121" spans="1:11" x14ac:dyDescent="0.25">
      <c r="A121" s="20">
        <f t="shared" si="22"/>
        <v>0</v>
      </c>
      <c r="B121" s="21" t="s">
        <v>1</v>
      </c>
      <c r="C121" s="21">
        <f t="shared" si="92"/>
        <v>2</v>
      </c>
      <c r="D121" s="18" t="s">
        <v>354</v>
      </c>
      <c r="E121" s="21">
        <f t="shared" si="93"/>
        <v>2</v>
      </c>
      <c r="F121" s="8" t="s">
        <v>128</v>
      </c>
      <c r="G121" s="21">
        <f t="shared" si="94"/>
        <v>12</v>
      </c>
      <c r="H121" s="22" t="s">
        <v>118</v>
      </c>
      <c r="I121" s="8" t="s">
        <v>136</v>
      </c>
      <c r="J121" s="20"/>
      <c r="K121" s="20"/>
    </row>
    <row r="122" spans="1:11" x14ac:dyDescent="0.25">
      <c r="A122" s="20">
        <f t="shared" si="22"/>
        <v>0</v>
      </c>
      <c r="B122" s="21" t="s">
        <v>1</v>
      </c>
      <c r="C122" s="21">
        <f t="shared" si="92"/>
        <v>2</v>
      </c>
      <c r="D122" s="18" t="s">
        <v>354</v>
      </c>
      <c r="E122" s="21">
        <f t="shared" si="93"/>
        <v>2</v>
      </c>
      <c r="F122" s="8" t="s">
        <v>128</v>
      </c>
      <c r="G122" s="21">
        <f t="shared" si="94"/>
        <v>12</v>
      </c>
      <c r="H122" s="22" t="s">
        <v>118</v>
      </c>
      <c r="I122" s="8" t="s">
        <v>137</v>
      </c>
      <c r="J122" s="20"/>
      <c r="K122" s="20"/>
    </row>
    <row r="123" spans="1:11" x14ac:dyDescent="0.25">
      <c r="A123" s="20">
        <f t="shared" si="22"/>
        <v>1</v>
      </c>
      <c r="B123" s="21" t="s">
        <v>1</v>
      </c>
      <c r="C123" s="21">
        <f t="shared" ref="C123:C214" si="95">VLOOKUP(B123, Categories, 2, FALSE)</f>
        <v>2</v>
      </c>
      <c r="D123" s="18" t="s">
        <v>354</v>
      </c>
      <c r="E123" s="21">
        <f t="shared" ref="E123:E214" si="96">VLOOKUP(D123,Subcategories, 2, FALSE)</f>
        <v>2</v>
      </c>
      <c r="F123" s="8" t="s">
        <v>138</v>
      </c>
      <c r="G123" s="21">
        <f t="shared" ref="G123:G214" si="97">VLOOKUP(F123,Topics, 2, FALSE)</f>
        <v>13</v>
      </c>
      <c r="H123" s="22"/>
      <c r="I123" s="8" t="s">
        <v>139</v>
      </c>
      <c r="J123" s="20"/>
      <c r="K123" s="20"/>
    </row>
    <row r="124" spans="1:11" x14ac:dyDescent="0.25">
      <c r="A124" s="20">
        <f t="shared" si="22"/>
        <v>1</v>
      </c>
      <c r="B124" s="21" t="s">
        <v>1</v>
      </c>
      <c r="C124" s="21">
        <f t="shared" si="95"/>
        <v>2</v>
      </c>
      <c r="D124" s="18" t="s">
        <v>354</v>
      </c>
      <c r="E124" s="21">
        <f t="shared" si="96"/>
        <v>2</v>
      </c>
      <c r="F124" s="8" t="s">
        <v>138</v>
      </c>
      <c r="G124" s="21">
        <f t="shared" si="97"/>
        <v>13</v>
      </c>
      <c r="H124" s="22"/>
      <c r="I124" s="8" t="s">
        <v>140</v>
      </c>
      <c r="J124" s="20"/>
      <c r="K124" s="20"/>
    </row>
    <row r="125" spans="1:11" x14ac:dyDescent="0.25">
      <c r="A125" s="20">
        <f t="shared" si="22"/>
        <v>1</v>
      </c>
      <c r="B125" s="21" t="s">
        <v>1</v>
      </c>
      <c r="C125" s="21">
        <f t="shared" si="95"/>
        <v>2</v>
      </c>
      <c r="D125" s="18" t="s">
        <v>354</v>
      </c>
      <c r="E125" s="21">
        <f t="shared" si="96"/>
        <v>2</v>
      </c>
      <c r="F125" s="8" t="s">
        <v>138</v>
      </c>
      <c r="G125" s="21">
        <f t="shared" si="97"/>
        <v>13</v>
      </c>
      <c r="H125" s="22"/>
      <c r="I125" s="8" t="s">
        <v>141</v>
      </c>
      <c r="J125" s="20"/>
      <c r="K125" s="20"/>
    </row>
    <row r="126" spans="1:11" x14ac:dyDescent="0.25">
      <c r="A126" s="20">
        <f t="shared" si="22"/>
        <v>1</v>
      </c>
      <c r="B126" s="21" t="s">
        <v>1</v>
      </c>
      <c r="C126" s="21">
        <f t="shared" si="95"/>
        <v>2</v>
      </c>
      <c r="D126" s="18" t="s">
        <v>354</v>
      </c>
      <c r="E126" s="21">
        <f t="shared" si="96"/>
        <v>2</v>
      </c>
      <c r="F126" s="8" t="s">
        <v>138</v>
      </c>
      <c r="G126" s="21">
        <f t="shared" si="97"/>
        <v>13</v>
      </c>
      <c r="H126" s="22"/>
      <c r="I126" s="8" t="s">
        <v>142</v>
      </c>
      <c r="J126" s="20"/>
      <c r="K126" s="20"/>
    </row>
    <row r="127" spans="1:11" x14ac:dyDescent="0.25">
      <c r="A127" s="20">
        <f t="shared" si="22"/>
        <v>1</v>
      </c>
      <c r="B127" s="21" t="s">
        <v>1</v>
      </c>
      <c r="C127" s="21">
        <f t="shared" si="95"/>
        <v>2</v>
      </c>
      <c r="D127" s="18" t="s">
        <v>354</v>
      </c>
      <c r="E127" s="21">
        <f t="shared" si="96"/>
        <v>2</v>
      </c>
      <c r="F127" s="8" t="s">
        <v>138</v>
      </c>
      <c r="G127" s="21">
        <f t="shared" si="97"/>
        <v>13</v>
      </c>
      <c r="H127" s="22"/>
      <c r="I127" s="8" t="s">
        <v>143</v>
      </c>
      <c r="J127" s="20"/>
      <c r="K127" s="20"/>
    </row>
    <row r="128" spans="1:11" x14ac:dyDescent="0.25">
      <c r="A128" s="20">
        <f t="shared" si="22"/>
        <v>1</v>
      </c>
      <c r="B128" s="21" t="s">
        <v>1</v>
      </c>
      <c r="C128" s="21">
        <f t="shared" si="95"/>
        <v>2</v>
      </c>
      <c r="D128" s="18" t="s">
        <v>354</v>
      </c>
      <c r="E128" s="21">
        <f t="shared" si="96"/>
        <v>2</v>
      </c>
      <c r="F128" s="8" t="s">
        <v>138</v>
      </c>
      <c r="G128" s="21">
        <f t="shared" si="97"/>
        <v>13</v>
      </c>
      <c r="H128" s="22"/>
      <c r="I128" s="8" t="s">
        <v>144</v>
      </c>
      <c r="J128" s="20"/>
      <c r="K128" s="20"/>
    </row>
    <row r="129" spans="1:11" x14ac:dyDescent="0.25">
      <c r="A129" s="20">
        <f t="shared" si="22"/>
        <v>1</v>
      </c>
      <c r="B129" s="21" t="s">
        <v>1</v>
      </c>
      <c r="C129" s="21">
        <f t="shared" si="95"/>
        <v>2</v>
      </c>
      <c r="D129" s="18" t="s">
        <v>354</v>
      </c>
      <c r="E129" s="21">
        <f t="shared" si="96"/>
        <v>2</v>
      </c>
      <c r="F129" s="8" t="s">
        <v>138</v>
      </c>
      <c r="G129" s="21">
        <f t="shared" si="97"/>
        <v>13</v>
      </c>
      <c r="H129" s="22"/>
      <c r="I129" s="8" t="s">
        <v>145</v>
      </c>
      <c r="J129" s="20"/>
      <c r="K129" s="20"/>
    </row>
    <row r="130" spans="1:11" x14ac:dyDescent="0.25">
      <c r="A130" s="20">
        <f t="shared" ref="A130:A193" si="98">IF(F130&lt;&gt;F129,IF(A129=0,1,0),A129)</f>
        <v>0</v>
      </c>
      <c r="B130" s="21" t="s">
        <v>1</v>
      </c>
      <c r="C130" s="21">
        <f t="shared" si="95"/>
        <v>2</v>
      </c>
      <c r="D130" s="18" t="s">
        <v>354</v>
      </c>
      <c r="E130" s="21">
        <f t="shared" si="96"/>
        <v>2</v>
      </c>
      <c r="F130" s="8" t="s">
        <v>46</v>
      </c>
      <c r="G130" s="21">
        <f t="shared" si="97"/>
        <v>20</v>
      </c>
      <c r="H130" s="22"/>
      <c r="I130" s="21" t="s">
        <v>350</v>
      </c>
      <c r="J130" s="20"/>
      <c r="K130" s="20"/>
    </row>
    <row r="131" spans="1:11" x14ac:dyDescent="0.25">
      <c r="A131" s="20">
        <f t="shared" si="98"/>
        <v>0</v>
      </c>
      <c r="B131" s="21" t="s">
        <v>1</v>
      </c>
      <c r="C131" s="21">
        <f t="shared" ref="C131" si="99">VLOOKUP(B131, Categories, 2, FALSE)</f>
        <v>2</v>
      </c>
      <c r="D131" s="18" t="s">
        <v>354</v>
      </c>
      <c r="E131" s="21">
        <f t="shared" ref="E131" si="100">VLOOKUP(D131,Subcategories, 2, FALSE)</f>
        <v>2</v>
      </c>
      <c r="F131" s="8" t="s">
        <v>46</v>
      </c>
      <c r="G131" s="21">
        <f t="shared" ref="G131" si="101">VLOOKUP(F131,Topics, 2, FALSE)</f>
        <v>20</v>
      </c>
      <c r="H131" s="22"/>
      <c r="I131" s="21" t="s">
        <v>153</v>
      </c>
      <c r="J131" s="20"/>
      <c r="K131" s="20"/>
    </row>
    <row r="132" spans="1:11" x14ac:dyDescent="0.25">
      <c r="A132" s="20">
        <f t="shared" si="98"/>
        <v>1</v>
      </c>
      <c r="B132" s="21" t="s">
        <v>1</v>
      </c>
      <c r="C132" s="21">
        <f t="shared" si="95"/>
        <v>2</v>
      </c>
      <c r="D132" s="18" t="s">
        <v>354</v>
      </c>
      <c r="E132" s="21">
        <f t="shared" si="96"/>
        <v>2</v>
      </c>
      <c r="F132" s="8" t="s">
        <v>154</v>
      </c>
      <c r="G132" s="21">
        <f t="shared" si="97"/>
        <v>21</v>
      </c>
      <c r="H132" s="22" t="s">
        <v>155</v>
      </c>
      <c r="I132" s="8" t="s">
        <v>156</v>
      </c>
      <c r="J132" s="20"/>
      <c r="K132" s="20"/>
    </row>
    <row r="133" spans="1:11" x14ac:dyDescent="0.25">
      <c r="A133" s="20">
        <f t="shared" si="98"/>
        <v>1</v>
      </c>
      <c r="B133" s="21" t="s">
        <v>1</v>
      </c>
      <c r="C133" s="21">
        <f t="shared" si="95"/>
        <v>2</v>
      </c>
      <c r="D133" s="18" t="s">
        <v>354</v>
      </c>
      <c r="E133" s="21">
        <f t="shared" si="96"/>
        <v>2</v>
      </c>
      <c r="F133" s="8" t="s">
        <v>154</v>
      </c>
      <c r="G133" s="21">
        <f t="shared" si="97"/>
        <v>21</v>
      </c>
      <c r="H133" s="22" t="s">
        <v>155</v>
      </c>
      <c r="I133" s="8" t="s">
        <v>343</v>
      </c>
      <c r="J133" s="20"/>
      <c r="K133" s="20"/>
    </row>
    <row r="134" spans="1:11" x14ac:dyDescent="0.25">
      <c r="A134" s="20">
        <f t="shared" si="98"/>
        <v>1</v>
      </c>
      <c r="B134" s="21" t="s">
        <v>1</v>
      </c>
      <c r="C134" s="21">
        <f t="shared" ref="C134" si="102">VLOOKUP(B134, Categories, 2, FALSE)</f>
        <v>2</v>
      </c>
      <c r="D134" s="18" t="s">
        <v>354</v>
      </c>
      <c r="E134" s="21">
        <f t="shared" ref="E134" si="103">VLOOKUP(D134,Subcategories, 2, FALSE)</f>
        <v>2</v>
      </c>
      <c r="F134" s="8" t="s">
        <v>154</v>
      </c>
      <c r="G134" s="21">
        <f t="shared" ref="G134" si="104">VLOOKUP(F134,Topics, 2, FALSE)</f>
        <v>21</v>
      </c>
      <c r="H134" s="22" t="s">
        <v>155</v>
      </c>
      <c r="I134" s="8" t="s">
        <v>345</v>
      </c>
      <c r="J134" s="20"/>
      <c r="K134" s="20"/>
    </row>
    <row r="135" spans="1:11" x14ac:dyDescent="0.25">
      <c r="A135" s="20">
        <f t="shared" si="98"/>
        <v>1</v>
      </c>
      <c r="B135" s="21" t="s">
        <v>1</v>
      </c>
      <c r="C135" s="21">
        <f t="shared" ref="C135" si="105">VLOOKUP(B135, Categories, 2, FALSE)</f>
        <v>2</v>
      </c>
      <c r="D135" s="18" t="s">
        <v>354</v>
      </c>
      <c r="E135" s="21">
        <f t="shared" ref="E135" si="106">VLOOKUP(D135,Subcategories, 2, FALSE)</f>
        <v>2</v>
      </c>
      <c r="F135" s="8" t="s">
        <v>154</v>
      </c>
      <c r="G135" s="21">
        <f t="shared" ref="G135" si="107">VLOOKUP(F135,Topics, 2, FALSE)</f>
        <v>21</v>
      </c>
      <c r="H135" s="22" t="s">
        <v>155</v>
      </c>
      <c r="I135" s="8" t="s">
        <v>348</v>
      </c>
      <c r="J135" s="20"/>
      <c r="K135" s="20"/>
    </row>
    <row r="136" spans="1:11" x14ac:dyDescent="0.25">
      <c r="A136" s="20">
        <f t="shared" si="98"/>
        <v>1</v>
      </c>
      <c r="B136" s="21" t="s">
        <v>1</v>
      </c>
      <c r="C136" s="21">
        <f t="shared" ref="C136" si="108">VLOOKUP(B136, Categories, 2, FALSE)</f>
        <v>2</v>
      </c>
      <c r="D136" s="18" t="s">
        <v>354</v>
      </c>
      <c r="E136" s="21">
        <f t="shared" ref="E136" si="109">VLOOKUP(D136,Subcategories, 2, FALSE)</f>
        <v>2</v>
      </c>
      <c r="F136" s="8" t="s">
        <v>154</v>
      </c>
      <c r="G136" s="21">
        <f t="shared" ref="G136" si="110">VLOOKUP(F136,Topics, 2, FALSE)</f>
        <v>21</v>
      </c>
      <c r="H136" s="22" t="s">
        <v>155</v>
      </c>
      <c r="I136" s="8" t="s">
        <v>349</v>
      </c>
      <c r="J136" s="20"/>
      <c r="K136" s="20"/>
    </row>
    <row r="137" spans="1:11" x14ac:dyDescent="0.25">
      <c r="A137" s="20">
        <f t="shared" si="98"/>
        <v>1</v>
      </c>
      <c r="B137" s="21" t="s">
        <v>1</v>
      </c>
      <c r="C137" s="21">
        <f t="shared" ref="C137" si="111">VLOOKUP(B137, Categories, 2, FALSE)</f>
        <v>2</v>
      </c>
      <c r="D137" s="18" t="s">
        <v>354</v>
      </c>
      <c r="E137" s="21">
        <f t="shared" ref="E137" si="112">VLOOKUP(D137,Subcategories, 2, FALSE)</f>
        <v>2</v>
      </c>
      <c r="F137" s="8" t="s">
        <v>154</v>
      </c>
      <c r="G137" s="21">
        <f t="shared" ref="G137" si="113">VLOOKUP(F137,Topics, 2, FALSE)</f>
        <v>21</v>
      </c>
      <c r="H137" s="22" t="s">
        <v>155</v>
      </c>
      <c r="I137" s="8" t="s">
        <v>351</v>
      </c>
      <c r="J137" s="20"/>
      <c r="K137" s="20"/>
    </row>
    <row r="138" spans="1:11" x14ac:dyDescent="0.25">
      <c r="A138" s="20">
        <f t="shared" si="98"/>
        <v>1</v>
      </c>
      <c r="B138" s="21" t="s">
        <v>1</v>
      </c>
      <c r="C138" s="21">
        <f t="shared" ref="C138" si="114">VLOOKUP(B138, Categories, 2, FALSE)</f>
        <v>2</v>
      </c>
      <c r="D138" s="18" t="s">
        <v>354</v>
      </c>
      <c r="E138" s="21">
        <f t="shared" ref="E138" si="115">VLOOKUP(D138,Subcategories, 2, FALSE)</f>
        <v>2</v>
      </c>
      <c r="F138" s="8" t="s">
        <v>154</v>
      </c>
      <c r="G138" s="21">
        <f t="shared" ref="G138" si="116">VLOOKUP(F138,Topics, 2, FALSE)</f>
        <v>21</v>
      </c>
      <c r="H138" s="22" t="s">
        <v>155</v>
      </c>
      <c r="I138" s="8" t="s">
        <v>344</v>
      </c>
      <c r="J138" s="20"/>
      <c r="K138" s="20"/>
    </row>
    <row r="139" spans="1:11" x14ac:dyDescent="0.25">
      <c r="A139" s="20">
        <f t="shared" si="98"/>
        <v>1</v>
      </c>
      <c r="B139" s="21" t="s">
        <v>1</v>
      </c>
      <c r="C139" s="21">
        <f t="shared" ref="C139" si="117">VLOOKUP(B139, Categories, 2, FALSE)</f>
        <v>2</v>
      </c>
      <c r="D139" s="18" t="s">
        <v>354</v>
      </c>
      <c r="E139" s="21">
        <f t="shared" ref="E139" si="118">VLOOKUP(D139,Subcategories, 2, FALSE)</f>
        <v>2</v>
      </c>
      <c r="F139" s="8" t="s">
        <v>154</v>
      </c>
      <c r="G139" s="21">
        <f t="shared" ref="G139" si="119">VLOOKUP(F139,Topics, 2, FALSE)</f>
        <v>21</v>
      </c>
      <c r="H139" s="22" t="s">
        <v>155</v>
      </c>
      <c r="I139" s="8" t="s">
        <v>157</v>
      </c>
      <c r="J139" s="20"/>
      <c r="K139" s="20"/>
    </row>
    <row r="140" spans="1:11" x14ac:dyDescent="0.25">
      <c r="A140" s="20">
        <f t="shared" si="98"/>
        <v>1</v>
      </c>
      <c r="B140" s="21" t="s">
        <v>1</v>
      </c>
      <c r="C140" s="21">
        <f t="shared" si="95"/>
        <v>2</v>
      </c>
      <c r="D140" s="18" t="s">
        <v>354</v>
      </c>
      <c r="E140" s="21">
        <f t="shared" si="96"/>
        <v>2</v>
      </c>
      <c r="F140" s="8" t="s">
        <v>154</v>
      </c>
      <c r="G140" s="21">
        <f t="shared" si="97"/>
        <v>21</v>
      </c>
      <c r="H140" s="22" t="s">
        <v>155</v>
      </c>
      <c r="I140" s="8" t="s">
        <v>158</v>
      </c>
      <c r="J140" s="20"/>
      <c r="K140" s="20"/>
    </row>
    <row r="141" spans="1:11" x14ac:dyDescent="0.25">
      <c r="A141" s="20">
        <f t="shared" si="98"/>
        <v>0</v>
      </c>
      <c r="B141" s="21" t="s">
        <v>1</v>
      </c>
      <c r="C141" s="21">
        <f t="shared" si="95"/>
        <v>2</v>
      </c>
      <c r="D141" s="21" t="s">
        <v>159</v>
      </c>
      <c r="E141" s="21">
        <f t="shared" si="96"/>
        <v>3</v>
      </c>
      <c r="F141" s="8" t="s">
        <v>160</v>
      </c>
      <c r="G141" s="21">
        <f t="shared" si="97"/>
        <v>22</v>
      </c>
      <c r="H141" s="20" t="s">
        <v>352</v>
      </c>
      <c r="I141" s="8" t="s">
        <v>356</v>
      </c>
      <c r="J141" s="20"/>
      <c r="K141" s="20"/>
    </row>
    <row r="142" spans="1:11" x14ac:dyDescent="0.25">
      <c r="A142" s="20">
        <f t="shared" si="98"/>
        <v>0</v>
      </c>
      <c r="B142" s="21" t="s">
        <v>1</v>
      </c>
      <c r="C142" s="21">
        <f t="shared" ref="C142" si="120">VLOOKUP(B142, Categories, 2, FALSE)</f>
        <v>2</v>
      </c>
      <c r="D142" s="21" t="s">
        <v>159</v>
      </c>
      <c r="E142" s="21">
        <f t="shared" ref="E142" si="121">VLOOKUP(D142,Subcategories, 2, FALSE)</f>
        <v>3</v>
      </c>
      <c r="F142" s="8" t="s">
        <v>160</v>
      </c>
      <c r="G142" s="21">
        <f t="shared" ref="G142" si="122">VLOOKUP(F142,Topics, 2, FALSE)</f>
        <v>22</v>
      </c>
      <c r="H142" s="20" t="s">
        <v>352</v>
      </c>
      <c r="I142" s="8" t="s">
        <v>357</v>
      </c>
      <c r="J142" s="20"/>
      <c r="K142" s="20"/>
    </row>
    <row r="143" spans="1:11" x14ac:dyDescent="0.25">
      <c r="A143" s="20">
        <f t="shared" si="98"/>
        <v>0</v>
      </c>
      <c r="B143" s="21" t="s">
        <v>1</v>
      </c>
      <c r="C143" s="21">
        <f t="shared" ref="C143" si="123">VLOOKUP(B143, Categories, 2, FALSE)</f>
        <v>2</v>
      </c>
      <c r="D143" s="21" t="s">
        <v>159</v>
      </c>
      <c r="E143" s="21">
        <f t="shared" ref="E143" si="124">VLOOKUP(D143,Subcategories, 2, FALSE)</f>
        <v>3</v>
      </c>
      <c r="F143" s="8" t="s">
        <v>160</v>
      </c>
      <c r="G143" s="21">
        <f t="shared" ref="G143" si="125">VLOOKUP(F143,Topics, 2, FALSE)</f>
        <v>22</v>
      </c>
      <c r="H143" s="20" t="s">
        <v>352</v>
      </c>
      <c r="I143" s="8" t="s">
        <v>360</v>
      </c>
      <c r="J143" s="20"/>
      <c r="K143" s="20"/>
    </row>
    <row r="144" spans="1:11" x14ac:dyDescent="0.25">
      <c r="A144" s="20">
        <f t="shared" si="98"/>
        <v>0</v>
      </c>
      <c r="B144" s="21" t="s">
        <v>1</v>
      </c>
      <c r="C144" s="21">
        <f t="shared" ref="C144" si="126">VLOOKUP(B144, Categories, 2, FALSE)</f>
        <v>2</v>
      </c>
      <c r="D144" s="21" t="s">
        <v>159</v>
      </c>
      <c r="E144" s="21">
        <f t="shared" ref="E144" si="127">VLOOKUP(D144,Subcategories, 2, FALSE)</f>
        <v>3</v>
      </c>
      <c r="F144" s="8" t="s">
        <v>160</v>
      </c>
      <c r="G144" s="21">
        <f t="shared" ref="G144" si="128">VLOOKUP(F144,Topics, 2, FALSE)</f>
        <v>22</v>
      </c>
      <c r="H144" s="20" t="s">
        <v>352</v>
      </c>
      <c r="I144" s="8" t="s">
        <v>358</v>
      </c>
      <c r="J144" s="20"/>
      <c r="K144" s="20"/>
    </row>
    <row r="145" spans="1:11" x14ac:dyDescent="0.25">
      <c r="A145" s="20">
        <f t="shared" si="98"/>
        <v>0</v>
      </c>
      <c r="B145" s="21" t="s">
        <v>1</v>
      </c>
      <c r="C145" s="21">
        <f t="shared" ref="C145" si="129">VLOOKUP(B145, Categories, 2, FALSE)</f>
        <v>2</v>
      </c>
      <c r="D145" s="21" t="s">
        <v>159</v>
      </c>
      <c r="E145" s="21">
        <f t="shared" ref="E145" si="130">VLOOKUP(D145,Subcategories, 2, FALSE)</f>
        <v>3</v>
      </c>
      <c r="F145" s="8" t="s">
        <v>160</v>
      </c>
      <c r="G145" s="21">
        <f t="shared" ref="G145" si="131">VLOOKUP(F145,Topics, 2, FALSE)</f>
        <v>22</v>
      </c>
      <c r="H145" s="20" t="s">
        <v>352</v>
      </c>
      <c r="I145" s="8" t="s">
        <v>359</v>
      </c>
      <c r="J145" s="20"/>
      <c r="K145" s="20"/>
    </row>
    <row r="146" spans="1:11" x14ac:dyDescent="0.25">
      <c r="A146" s="20">
        <f t="shared" si="98"/>
        <v>0</v>
      </c>
      <c r="B146" s="21" t="s">
        <v>1</v>
      </c>
      <c r="C146" s="21">
        <f t="shared" ref="C146" si="132">VLOOKUP(B146, Categories, 2, FALSE)</f>
        <v>2</v>
      </c>
      <c r="D146" s="21" t="s">
        <v>159</v>
      </c>
      <c r="E146" s="21">
        <f t="shared" ref="E146" si="133">VLOOKUP(D146,Subcategories, 2, FALSE)</f>
        <v>3</v>
      </c>
      <c r="F146" s="8" t="s">
        <v>160</v>
      </c>
      <c r="G146" s="21">
        <f t="shared" ref="G146" si="134">VLOOKUP(F146,Topics, 2, FALSE)</f>
        <v>22</v>
      </c>
      <c r="H146" s="20" t="s">
        <v>352</v>
      </c>
      <c r="I146" s="8" t="s">
        <v>361</v>
      </c>
      <c r="J146" s="20"/>
      <c r="K146" s="20"/>
    </row>
    <row r="147" spans="1:11" x14ac:dyDescent="0.25">
      <c r="A147" s="20">
        <f t="shared" si="98"/>
        <v>0</v>
      </c>
      <c r="B147" s="21" t="s">
        <v>1</v>
      </c>
      <c r="C147" s="21">
        <f t="shared" ref="C147" si="135">VLOOKUP(B147, Categories, 2, FALSE)</f>
        <v>2</v>
      </c>
      <c r="D147" s="21" t="s">
        <v>159</v>
      </c>
      <c r="E147" s="21">
        <f t="shared" ref="E147" si="136">VLOOKUP(D147,Subcategories, 2, FALSE)</f>
        <v>3</v>
      </c>
      <c r="F147" s="8" t="s">
        <v>160</v>
      </c>
      <c r="G147" s="21">
        <f t="shared" ref="G147" si="137">VLOOKUP(F147,Topics, 2, FALSE)</f>
        <v>22</v>
      </c>
      <c r="H147" s="20" t="s">
        <v>352</v>
      </c>
      <c r="I147" s="8" t="s">
        <v>362</v>
      </c>
      <c r="J147" s="20"/>
      <c r="K147" s="20"/>
    </row>
    <row r="148" spans="1:11" x14ac:dyDescent="0.25">
      <c r="A148" s="20">
        <f t="shared" si="98"/>
        <v>0</v>
      </c>
      <c r="B148" s="21" t="s">
        <v>1</v>
      </c>
      <c r="C148" s="21">
        <f t="shared" ref="C148" si="138">VLOOKUP(B148, Categories, 2, FALSE)</f>
        <v>2</v>
      </c>
      <c r="D148" s="21" t="s">
        <v>159</v>
      </c>
      <c r="E148" s="21">
        <f t="shared" ref="E148" si="139">VLOOKUP(D148,Subcategories, 2, FALSE)</f>
        <v>3</v>
      </c>
      <c r="F148" s="8" t="s">
        <v>160</v>
      </c>
      <c r="G148" s="21">
        <f t="shared" ref="G148" si="140">VLOOKUP(F148,Topics, 2, FALSE)</f>
        <v>22</v>
      </c>
      <c r="H148" s="20" t="s">
        <v>352</v>
      </c>
      <c r="I148" s="8" t="s">
        <v>363</v>
      </c>
      <c r="J148" s="20"/>
      <c r="K148" s="20"/>
    </row>
    <row r="149" spans="1:11" x14ac:dyDescent="0.25">
      <c r="A149" s="20">
        <f t="shared" si="98"/>
        <v>0</v>
      </c>
      <c r="B149" s="21" t="s">
        <v>1</v>
      </c>
      <c r="C149" s="21">
        <f t="shared" ref="C149" si="141">VLOOKUP(B149, Categories, 2, FALSE)</f>
        <v>2</v>
      </c>
      <c r="D149" s="21" t="s">
        <v>159</v>
      </c>
      <c r="E149" s="21">
        <f t="shared" ref="E149" si="142">VLOOKUP(D149,Subcategories, 2, FALSE)</f>
        <v>3</v>
      </c>
      <c r="F149" s="8" t="s">
        <v>160</v>
      </c>
      <c r="G149" s="21">
        <f t="shared" ref="G149" si="143">VLOOKUP(F149,Topics, 2, FALSE)</f>
        <v>22</v>
      </c>
      <c r="H149" s="20" t="s">
        <v>352</v>
      </c>
      <c r="I149" s="8" t="s">
        <v>364</v>
      </c>
      <c r="J149" s="20"/>
      <c r="K149" s="20"/>
    </row>
    <row r="150" spans="1:11" x14ac:dyDescent="0.25">
      <c r="A150" s="20">
        <f t="shared" si="98"/>
        <v>0</v>
      </c>
      <c r="B150" s="21" t="s">
        <v>1</v>
      </c>
      <c r="C150" s="21">
        <f t="shared" ref="C150" si="144">VLOOKUP(B150, Categories, 2, FALSE)</f>
        <v>2</v>
      </c>
      <c r="D150" s="21" t="s">
        <v>159</v>
      </c>
      <c r="E150" s="21">
        <f t="shared" ref="E150" si="145">VLOOKUP(D150,Subcategories, 2, FALSE)</f>
        <v>3</v>
      </c>
      <c r="F150" s="8" t="s">
        <v>160</v>
      </c>
      <c r="G150" s="21">
        <f t="shared" ref="G150" si="146">VLOOKUP(F150,Topics, 2, FALSE)</f>
        <v>22</v>
      </c>
      <c r="H150" s="20" t="s">
        <v>352</v>
      </c>
      <c r="I150" s="8" t="s">
        <v>366</v>
      </c>
      <c r="J150" s="20"/>
      <c r="K150" s="20"/>
    </row>
    <row r="151" spans="1:11" x14ac:dyDescent="0.25">
      <c r="A151" s="20">
        <f t="shared" si="98"/>
        <v>0</v>
      </c>
      <c r="B151" s="21" t="s">
        <v>1</v>
      </c>
      <c r="C151" s="21">
        <f t="shared" ref="C151" si="147">VLOOKUP(B151, Categories, 2, FALSE)</f>
        <v>2</v>
      </c>
      <c r="D151" s="21" t="s">
        <v>159</v>
      </c>
      <c r="E151" s="21">
        <f t="shared" ref="E151" si="148">VLOOKUP(D151,Subcategories, 2, FALSE)</f>
        <v>3</v>
      </c>
      <c r="F151" s="8" t="s">
        <v>160</v>
      </c>
      <c r="G151" s="21">
        <f t="shared" ref="G151" si="149">VLOOKUP(F151,Topics, 2, FALSE)</f>
        <v>22</v>
      </c>
      <c r="H151" s="20" t="s">
        <v>352</v>
      </c>
      <c r="I151" s="8" t="s">
        <v>367</v>
      </c>
      <c r="J151" s="20"/>
      <c r="K151" s="20"/>
    </row>
    <row r="152" spans="1:11" x14ac:dyDescent="0.25">
      <c r="A152" s="20">
        <f t="shared" si="98"/>
        <v>0</v>
      </c>
      <c r="B152" s="21" t="s">
        <v>1</v>
      </c>
      <c r="C152" s="21">
        <f t="shared" ref="C152" si="150">VLOOKUP(B152, Categories, 2, FALSE)</f>
        <v>2</v>
      </c>
      <c r="D152" s="21" t="s">
        <v>159</v>
      </c>
      <c r="E152" s="21">
        <f t="shared" ref="E152" si="151">VLOOKUP(D152,Subcategories, 2, FALSE)</f>
        <v>3</v>
      </c>
      <c r="F152" s="8" t="s">
        <v>160</v>
      </c>
      <c r="G152" s="21">
        <f t="shared" ref="G152" si="152">VLOOKUP(F152,Topics, 2, FALSE)</f>
        <v>22</v>
      </c>
      <c r="H152" s="20" t="s">
        <v>352</v>
      </c>
      <c r="I152" s="8" t="s">
        <v>369</v>
      </c>
      <c r="J152" s="20"/>
      <c r="K152" s="20"/>
    </row>
    <row r="153" spans="1:11" x14ac:dyDescent="0.25">
      <c r="A153" s="20">
        <f t="shared" si="98"/>
        <v>0</v>
      </c>
      <c r="B153" s="21" t="s">
        <v>1</v>
      </c>
      <c r="C153" s="21">
        <f t="shared" ref="C153" si="153">VLOOKUP(B153, Categories, 2, FALSE)</f>
        <v>2</v>
      </c>
      <c r="D153" s="21" t="s">
        <v>159</v>
      </c>
      <c r="E153" s="21">
        <f t="shared" ref="E153" si="154">VLOOKUP(D153,Subcategories, 2, FALSE)</f>
        <v>3</v>
      </c>
      <c r="F153" s="8" t="s">
        <v>160</v>
      </c>
      <c r="G153" s="21">
        <f t="shared" ref="G153" si="155">VLOOKUP(F153,Topics, 2, FALSE)</f>
        <v>22</v>
      </c>
      <c r="H153" s="20" t="s">
        <v>352</v>
      </c>
      <c r="I153" s="8" t="s">
        <v>370</v>
      </c>
      <c r="J153" s="20"/>
      <c r="K153" s="20"/>
    </row>
    <row r="154" spans="1:11" x14ac:dyDescent="0.25">
      <c r="A154" s="20">
        <f t="shared" si="98"/>
        <v>0</v>
      </c>
      <c r="B154" s="21" t="s">
        <v>1</v>
      </c>
      <c r="C154" s="21">
        <f t="shared" ref="C154" si="156">VLOOKUP(B154, Categories, 2, FALSE)</f>
        <v>2</v>
      </c>
      <c r="D154" s="21" t="s">
        <v>159</v>
      </c>
      <c r="E154" s="21">
        <f t="shared" ref="E154" si="157">VLOOKUP(D154,Subcategories, 2, FALSE)</f>
        <v>3</v>
      </c>
      <c r="F154" s="8" t="s">
        <v>160</v>
      </c>
      <c r="G154" s="21">
        <f t="shared" ref="G154" si="158">VLOOKUP(F154,Topics, 2, FALSE)</f>
        <v>22</v>
      </c>
      <c r="H154" s="20" t="s">
        <v>352</v>
      </c>
      <c r="I154" s="8" t="s">
        <v>371</v>
      </c>
      <c r="J154" s="20"/>
      <c r="K154" s="20"/>
    </row>
    <row r="155" spans="1:11" x14ac:dyDescent="0.25">
      <c r="A155" s="20">
        <f t="shared" si="98"/>
        <v>0</v>
      </c>
      <c r="B155" s="21" t="s">
        <v>1</v>
      </c>
      <c r="C155" s="21">
        <f t="shared" ref="C155" si="159">VLOOKUP(B155, Categories, 2, FALSE)</f>
        <v>2</v>
      </c>
      <c r="D155" s="21" t="s">
        <v>159</v>
      </c>
      <c r="E155" s="21">
        <f t="shared" ref="E155" si="160">VLOOKUP(D155,Subcategories, 2, FALSE)</f>
        <v>3</v>
      </c>
      <c r="F155" s="8" t="s">
        <v>160</v>
      </c>
      <c r="G155" s="21">
        <f t="shared" ref="G155" si="161">VLOOKUP(F155,Topics, 2, FALSE)</f>
        <v>22</v>
      </c>
      <c r="H155" s="20" t="s">
        <v>352</v>
      </c>
      <c r="I155" s="8" t="s">
        <v>368</v>
      </c>
      <c r="J155" s="20"/>
      <c r="K155" s="20"/>
    </row>
    <row r="156" spans="1:11" x14ac:dyDescent="0.25">
      <c r="A156" s="20">
        <f t="shared" si="98"/>
        <v>1</v>
      </c>
      <c r="B156" s="21" t="s">
        <v>1</v>
      </c>
      <c r="C156" s="21">
        <f t="shared" ref="C156" si="162">VLOOKUP(B156, Categories, 2, FALSE)</f>
        <v>2</v>
      </c>
      <c r="D156" s="21" t="s">
        <v>159</v>
      </c>
      <c r="E156" s="21">
        <f t="shared" ref="E156" si="163">VLOOKUP(D156,Subcategories, 2, FALSE)</f>
        <v>3</v>
      </c>
      <c r="F156" s="8" t="s">
        <v>162</v>
      </c>
      <c r="G156" s="21">
        <f t="shared" ref="G156" si="164">VLOOKUP(F156,Topics, 2, FALSE)</f>
        <v>23</v>
      </c>
      <c r="H156" s="22" t="s">
        <v>163</v>
      </c>
      <c r="I156" s="8" t="s">
        <v>346</v>
      </c>
      <c r="J156" s="20"/>
      <c r="K156" s="20"/>
    </row>
    <row r="157" spans="1:11" x14ac:dyDescent="0.25">
      <c r="A157" s="20">
        <f t="shared" si="98"/>
        <v>1</v>
      </c>
      <c r="B157" s="21" t="s">
        <v>1</v>
      </c>
      <c r="C157" s="21">
        <f t="shared" ref="C157" si="165">VLOOKUP(B157, Categories, 2, FALSE)</f>
        <v>2</v>
      </c>
      <c r="D157" s="21" t="s">
        <v>159</v>
      </c>
      <c r="E157" s="21">
        <f t="shared" ref="E157" si="166">VLOOKUP(D157,Subcategories, 2, FALSE)</f>
        <v>3</v>
      </c>
      <c r="F157" s="8" t="s">
        <v>162</v>
      </c>
      <c r="G157" s="21">
        <f t="shared" ref="G157" si="167">VLOOKUP(F157,Topics, 2, FALSE)</f>
        <v>23</v>
      </c>
      <c r="H157" s="22" t="s">
        <v>163</v>
      </c>
      <c r="I157" s="8" t="s">
        <v>347</v>
      </c>
      <c r="J157" s="20"/>
      <c r="K157" s="20"/>
    </row>
    <row r="158" spans="1:11" x14ac:dyDescent="0.25">
      <c r="A158" s="20">
        <f t="shared" si="98"/>
        <v>0</v>
      </c>
      <c r="B158" s="21" t="s">
        <v>1</v>
      </c>
      <c r="C158" s="21">
        <f t="shared" ref="C158" si="168">VLOOKUP(B158, Categories, 2, FALSE)</f>
        <v>2</v>
      </c>
      <c r="D158" s="21" t="s">
        <v>159</v>
      </c>
      <c r="E158" s="21">
        <f t="shared" ref="E158" si="169">VLOOKUP(D158,Subcategories, 2, FALSE)</f>
        <v>3</v>
      </c>
      <c r="F158" s="8" t="s">
        <v>372</v>
      </c>
      <c r="G158" s="21">
        <f t="shared" ref="G158" si="170">VLOOKUP(F158,Topics, 2, FALSE)</f>
        <v>24</v>
      </c>
      <c r="H158" s="23" t="s">
        <v>353</v>
      </c>
      <c r="I158" s="8" t="s">
        <v>373</v>
      </c>
      <c r="J158" s="20"/>
      <c r="K158" s="20"/>
    </row>
    <row r="159" spans="1:11" x14ac:dyDescent="0.25">
      <c r="A159" s="20">
        <f t="shared" si="98"/>
        <v>0</v>
      </c>
      <c r="B159" s="21" t="s">
        <v>1</v>
      </c>
      <c r="C159" s="21">
        <f t="shared" ref="C159" si="171">VLOOKUP(B159, Categories, 2, FALSE)</f>
        <v>2</v>
      </c>
      <c r="D159" s="21" t="s">
        <v>159</v>
      </c>
      <c r="E159" s="21">
        <f t="shared" ref="E159" si="172">VLOOKUP(D159,Subcategories, 2, FALSE)</f>
        <v>3</v>
      </c>
      <c r="F159" s="8" t="s">
        <v>372</v>
      </c>
      <c r="G159" s="21">
        <f t="shared" ref="G159" si="173">VLOOKUP(F159,Topics, 2, FALSE)</f>
        <v>24</v>
      </c>
      <c r="H159" s="23" t="s">
        <v>353</v>
      </c>
      <c r="I159" s="8" t="s">
        <v>374</v>
      </c>
      <c r="J159" s="20"/>
      <c r="K159" s="20"/>
    </row>
    <row r="160" spans="1:11" x14ac:dyDescent="0.25">
      <c r="A160" s="20">
        <f t="shared" si="98"/>
        <v>0</v>
      </c>
      <c r="B160" s="21" t="s">
        <v>1</v>
      </c>
      <c r="C160" s="21">
        <f t="shared" ref="C160" si="174">VLOOKUP(B160, Categories, 2, FALSE)</f>
        <v>2</v>
      </c>
      <c r="D160" s="21" t="s">
        <v>159</v>
      </c>
      <c r="E160" s="21">
        <f t="shared" ref="E160" si="175">VLOOKUP(D160,Subcategories, 2, FALSE)</f>
        <v>3</v>
      </c>
      <c r="F160" s="8" t="s">
        <v>372</v>
      </c>
      <c r="G160" s="21">
        <f t="shared" ref="G160" si="176">VLOOKUP(F160,Topics, 2, FALSE)</f>
        <v>24</v>
      </c>
      <c r="H160" s="23" t="s">
        <v>353</v>
      </c>
      <c r="I160" s="8" t="s">
        <v>375</v>
      </c>
      <c r="J160" s="20"/>
      <c r="K160" s="20"/>
    </row>
    <row r="161" spans="1:11" x14ac:dyDescent="0.25">
      <c r="A161" s="20">
        <f t="shared" si="98"/>
        <v>0</v>
      </c>
      <c r="B161" s="21" t="s">
        <v>1</v>
      </c>
      <c r="C161" s="21">
        <f t="shared" ref="C161" si="177">VLOOKUP(B161, Categories, 2, FALSE)</f>
        <v>2</v>
      </c>
      <c r="D161" s="21" t="s">
        <v>159</v>
      </c>
      <c r="E161" s="21">
        <f t="shared" ref="E161" si="178">VLOOKUP(D161,Subcategories, 2, FALSE)</f>
        <v>3</v>
      </c>
      <c r="F161" s="8" t="s">
        <v>372</v>
      </c>
      <c r="G161" s="21">
        <f t="shared" ref="G161" si="179">VLOOKUP(F161,Topics, 2, FALSE)</f>
        <v>24</v>
      </c>
      <c r="H161" s="23" t="s">
        <v>353</v>
      </c>
      <c r="I161" s="8" t="s">
        <v>376</v>
      </c>
      <c r="J161" s="20"/>
      <c r="K161" s="20"/>
    </row>
    <row r="162" spans="1:11" x14ac:dyDescent="0.25">
      <c r="A162" s="20">
        <f t="shared" si="98"/>
        <v>1</v>
      </c>
      <c r="B162" s="21" t="s">
        <v>1</v>
      </c>
      <c r="C162" s="21">
        <f t="shared" ref="C162" si="180">VLOOKUP(B162, Categories, 2, FALSE)</f>
        <v>2</v>
      </c>
      <c r="D162" s="21" t="s">
        <v>159</v>
      </c>
      <c r="E162" s="21">
        <f t="shared" ref="E162" si="181">VLOOKUP(D162,Subcategories, 2, FALSE)</f>
        <v>3</v>
      </c>
      <c r="F162" s="8" t="s">
        <v>166</v>
      </c>
      <c r="G162" s="21">
        <f t="shared" ref="G162" si="182">VLOOKUP(F162,Topics, 2, FALSE)</f>
        <v>25</v>
      </c>
      <c r="H162" s="22" t="s">
        <v>377</v>
      </c>
      <c r="I162" s="8" t="s">
        <v>378</v>
      </c>
      <c r="J162" s="20"/>
      <c r="K162" s="20"/>
    </row>
    <row r="163" spans="1:11" x14ac:dyDescent="0.25">
      <c r="A163" s="20">
        <f t="shared" si="98"/>
        <v>1</v>
      </c>
      <c r="B163" s="21" t="s">
        <v>1</v>
      </c>
      <c r="C163" s="21">
        <f t="shared" ref="C163" si="183">VLOOKUP(B163, Categories, 2, FALSE)</f>
        <v>2</v>
      </c>
      <c r="D163" s="21" t="s">
        <v>159</v>
      </c>
      <c r="E163" s="21">
        <f t="shared" ref="E163" si="184">VLOOKUP(D163,Subcategories, 2, FALSE)</f>
        <v>3</v>
      </c>
      <c r="F163" s="8" t="s">
        <v>166</v>
      </c>
      <c r="G163" s="21">
        <f t="shared" ref="G163" si="185">VLOOKUP(F163,Topics, 2, FALSE)</f>
        <v>25</v>
      </c>
      <c r="H163" s="22" t="s">
        <v>377</v>
      </c>
      <c r="I163" s="8" t="s">
        <v>379</v>
      </c>
      <c r="J163" s="20"/>
      <c r="K163" s="20"/>
    </row>
    <row r="164" spans="1:11" x14ac:dyDescent="0.25">
      <c r="A164" s="20">
        <f t="shared" si="98"/>
        <v>1</v>
      </c>
      <c r="B164" s="21" t="s">
        <v>1</v>
      </c>
      <c r="C164" s="21">
        <f t="shared" ref="C164" si="186">VLOOKUP(B164, Categories, 2, FALSE)</f>
        <v>2</v>
      </c>
      <c r="D164" s="21" t="s">
        <v>159</v>
      </c>
      <c r="E164" s="21">
        <f t="shared" ref="E164" si="187">VLOOKUP(D164,Subcategories, 2, FALSE)</f>
        <v>3</v>
      </c>
      <c r="F164" s="8" t="s">
        <v>166</v>
      </c>
      <c r="G164" s="21">
        <f t="shared" ref="G164" si="188">VLOOKUP(F164,Topics, 2, FALSE)</f>
        <v>25</v>
      </c>
      <c r="H164" s="22" t="s">
        <v>377</v>
      </c>
      <c r="I164" s="8" t="s">
        <v>380</v>
      </c>
      <c r="J164" s="20"/>
      <c r="K164" s="20"/>
    </row>
    <row r="165" spans="1:11" x14ac:dyDescent="0.25">
      <c r="A165" s="20">
        <f t="shared" si="98"/>
        <v>1</v>
      </c>
      <c r="B165" s="21" t="s">
        <v>1</v>
      </c>
      <c r="C165" s="21">
        <f t="shared" ref="C165" si="189">VLOOKUP(B165, Categories, 2, FALSE)</f>
        <v>2</v>
      </c>
      <c r="D165" s="21" t="s">
        <v>159</v>
      </c>
      <c r="E165" s="21">
        <f t="shared" ref="E165" si="190">VLOOKUP(D165,Subcategories, 2, FALSE)</f>
        <v>3</v>
      </c>
      <c r="F165" s="8" t="s">
        <v>166</v>
      </c>
      <c r="G165" s="21">
        <f t="shared" ref="G165" si="191">VLOOKUP(F165,Topics, 2, FALSE)</f>
        <v>25</v>
      </c>
      <c r="H165" s="22" t="s">
        <v>377</v>
      </c>
      <c r="I165" s="8" t="s">
        <v>381</v>
      </c>
      <c r="J165" s="20"/>
      <c r="K165" s="20"/>
    </row>
    <row r="166" spans="1:11" x14ac:dyDescent="0.25">
      <c r="A166" s="20">
        <f t="shared" si="98"/>
        <v>1</v>
      </c>
      <c r="B166" s="21" t="s">
        <v>1</v>
      </c>
      <c r="C166" s="21">
        <f t="shared" ref="C166" si="192">VLOOKUP(B166, Categories, 2, FALSE)</f>
        <v>2</v>
      </c>
      <c r="D166" s="21" t="s">
        <v>159</v>
      </c>
      <c r="E166" s="21">
        <f t="shared" ref="E166" si="193">VLOOKUP(D166,Subcategories, 2, FALSE)</f>
        <v>3</v>
      </c>
      <c r="F166" s="8" t="s">
        <v>166</v>
      </c>
      <c r="G166" s="21">
        <f t="shared" ref="G166" si="194">VLOOKUP(F166,Topics, 2, FALSE)</f>
        <v>25</v>
      </c>
      <c r="H166" s="22" t="s">
        <v>377</v>
      </c>
      <c r="I166" s="8" t="s">
        <v>382</v>
      </c>
      <c r="J166" s="20"/>
      <c r="K166" s="20"/>
    </row>
    <row r="167" spans="1:11" x14ac:dyDescent="0.25">
      <c r="A167" s="20">
        <f t="shared" si="98"/>
        <v>1</v>
      </c>
      <c r="B167" s="21" t="s">
        <v>1</v>
      </c>
      <c r="C167" s="21">
        <f t="shared" ref="C167" si="195">VLOOKUP(B167, Categories, 2, FALSE)</f>
        <v>2</v>
      </c>
      <c r="D167" s="21" t="s">
        <v>159</v>
      </c>
      <c r="E167" s="21">
        <f t="shared" ref="E167" si="196">VLOOKUP(D167,Subcategories, 2, FALSE)</f>
        <v>3</v>
      </c>
      <c r="F167" s="8" t="s">
        <v>166</v>
      </c>
      <c r="G167" s="21">
        <f t="shared" ref="G167" si="197">VLOOKUP(F167,Topics, 2, FALSE)</f>
        <v>25</v>
      </c>
      <c r="H167" s="22" t="s">
        <v>377</v>
      </c>
      <c r="I167" s="8" t="s">
        <v>383</v>
      </c>
      <c r="J167" s="20"/>
      <c r="K167" s="20"/>
    </row>
    <row r="168" spans="1:11" x14ac:dyDescent="0.25">
      <c r="A168" s="20">
        <f t="shared" si="98"/>
        <v>1</v>
      </c>
      <c r="B168" s="21" t="s">
        <v>1</v>
      </c>
      <c r="C168" s="21">
        <f t="shared" ref="C168" si="198">VLOOKUP(B168, Categories, 2, FALSE)</f>
        <v>2</v>
      </c>
      <c r="D168" s="21" t="s">
        <v>159</v>
      </c>
      <c r="E168" s="21">
        <f t="shared" ref="E168" si="199">VLOOKUP(D168,Subcategories, 2, FALSE)</f>
        <v>3</v>
      </c>
      <c r="F168" s="8" t="s">
        <v>166</v>
      </c>
      <c r="G168" s="21">
        <f t="shared" ref="G168" si="200">VLOOKUP(F168,Topics, 2, FALSE)</f>
        <v>25</v>
      </c>
      <c r="H168" s="22" t="s">
        <v>377</v>
      </c>
      <c r="I168" s="8" t="s">
        <v>384</v>
      </c>
      <c r="J168" s="20"/>
      <c r="K168" s="20"/>
    </row>
    <row r="169" spans="1:11" x14ac:dyDescent="0.25">
      <c r="A169" s="20">
        <f t="shared" si="98"/>
        <v>1</v>
      </c>
      <c r="B169" s="21" t="s">
        <v>1</v>
      </c>
      <c r="C169" s="21">
        <f t="shared" ref="C169" si="201">VLOOKUP(B169, Categories, 2, FALSE)</f>
        <v>2</v>
      </c>
      <c r="D169" s="21" t="s">
        <v>159</v>
      </c>
      <c r="E169" s="21">
        <f t="shared" ref="E169" si="202">VLOOKUP(D169,Subcategories, 2, FALSE)</f>
        <v>3</v>
      </c>
      <c r="F169" s="8" t="s">
        <v>166</v>
      </c>
      <c r="G169" s="21">
        <f t="shared" ref="G169" si="203">VLOOKUP(F169,Topics, 2, FALSE)</f>
        <v>25</v>
      </c>
      <c r="H169" s="22" t="s">
        <v>377</v>
      </c>
      <c r="I169" s="8" t="s">
        <v>385</v>
      </c>
      <c r="J169" s="20"/>
      <c r="K169" s="20"/>
    </row>
    <row r="170" spans="1:11" x14ac:dyDescent="0.25">
      <c r="A170" s="20">
        <f t="shared" si="98"/>
        <v>1</v>
      </c>
      <c r="B170" s="21" t="s">
        <v>1</v>
      </c>
      <c r="C170" s="21">
        <f t="shared" ref="C170" si="204">VLOOKUP(B170, Categories, 2, FALSE)</f>
        <v>2</v>
      </c>
      <c r="D170" s="21" t="s">
        <v>159</v>
      </c>
      <c r="E170" s="21">
        <f t="shared" ref="E170" si="205">VLOOKUP(D170,Subcategories, 2, FALSE)</f>
        <v>3</v>
      </c>
      <c r="F170" s="8" t="s">
        <v>166</v>
      </c>
      <c r="G170" s="21">
        <f t="shared" ref="G170" si="206">VLOOKUP(F170,Topics, 2, FALSE)</f>
        <v>25</v>
      </c>
      <c r="H170" s="22" t="s">
        <v>377</v>
      </c>
      <c r="I170" s="8" t="s">
        <v>386</v>
      </c>
      <c r="J170" s="20"/>
      <c r="K170" s="20"/>
    </row>
    <row r="171" spans="1:11" x14ac:dyDescent="0.25">
      <c r="A171" s="20">
        <f t="shared" si="98"/>
        <v>0</v>
      </c>
      <c r="B171" s="21" t="s">
        <v>1</v>
      </c>
      <c r="C171" s="21">
        <f t="shared" ref="C171" si="207">VLOOKUP(B171, Categories, 2, FALSE)</f>
        <v>2</v>
      </c>
      <c r="D171" s="21" t="s">
        <v>159</v>
      </c>
      <c r="E171" s="21">
        <f t="shared" ref="E171" si="208">VLOOKUP(D171,Subcategories, 2, FALSE)</f>
        <v>3</v>
      </c>
      <c r="F171" s="8" t="s">
        <v>167</v>
      </c>
      <c r="G171" s="21">
        <f t="shared" ref="G171" si="209">VLOOKUP(F171,Topics, 2, FALSE)</f>
        <v>26</v>
      </c>
      <c r="H171" s="24" t="s">
        <v>387</v>
      </c>
      <c r="I171" s="8" t="s">
        <v>388</v>
      </c>
      <c r="J171" s="20"/>
      <c r="K171" s="20"/>
    </row>
    <row r="172" spans="1:11" x14ac:dyDescent="0.25">
      <c r="A172" s="20">
        <f t="shared" si="98"/>
        <v>0</v>
      </c>
      <c r="B172" s="21" t="s">
        <v>1</v>
      </c>
      <c r="C172" s="21">
        <f t="shared" ref="C172" si="210">VLOOKUP(B172, Categories, 2, FALSE)</f>
        <v>2</v>
      </c>
      <c r="D172" s="21" t="s">
        <v>159</v>
      </c>
      <c r="E172" s="21">
        <f t="shared" ref="E172" si="211">VLOOKUP(D172,Subcategories, 2, FALSE)</f>
        <v>3</v>
      </c>
      <c r="F172" s="8" t="s">
        <v>167</v>
      </c>
      <c r="G172" s="21">
        <f t="shared" ref="G172" si="212">VLOOKUP(F172,Topics, 2, FALSE)</f>
        <v>26</v>
      </c>
      <c r="H172" s="24" t="s">
        <v>387</v>
      </c>
      <c r="I172" s="8" t="s">
        <v>389</v>
      </c>
      <c r="J172" s="20"/>
      <c r="K172" s="20"/>
    </row>
    <row r="173" spans="1:11" x14ac:dyDescent="0.25">
      <c r="A173" s="20">
        <f t="shared" si="98"/>
        <v>0</v>
      </c>
      <c r="B173" s="21" t="s">
        <v>1</v>
      </c>
      <c r="C173" s="21">
        <f t="shared" ref="C173" si="213">VLOOKUP(B173, Categories, 2, FALSE)</f>
        <v>2</v>
      </c>
      <c r="D173" s="21" t="s">
        <v>159</v>
      </c>
      <c r="E173" s="21">
        <f t="shared" ref="E173" si="214">VLOOKUP(D173,Subcategories, 2, FALSE)</f>
        <v>3</v>
      </c>
      <c r="F173" s="8" t="s">
        <v>167</v>
      </c>
      <c r="G173" s="21">
        <f t="shared" ref="G173" si="215">VLOOKUP(F173,Topics, 2, FALSE)</f>
        <v>26</v>
      </c>
      <c r="H173" s="24" t="s">
        <v>387</v>
      </c>
      <c r="I173" s="8" t="s">
        <v>390</v>
      </c>
      <c r="J173" s="20"/>
      <c r="K173" s="20"/>
    </row>
    <row r="174" spans="1:11" x14ac:dyDescent="0.25">
      <c r="A174" s="20">
        <f t="shared" si="98"/>
        <v>0</v>
      </c>
      <c r="B174" s="21" t="s">
        <v>1</v>
      </c>
      <c r="C174" s="21">
        <f t="shared" ref="C174" si="216">VLOOKUP(B174, Categories, 2, FALSE)</f>
        <v>2</v>
      </c>
      <c r="D174" s="21" t="s">
        <v>159</v>
      </c>
      <c r="E174" s="21">
        <f t="shared" ref="E174" si="217">VLOOKUP(D174,Subcategories, 2, FALSE)</f>
        <v>3</v>
      </c>
      <c r="F174" s="8" t="s">
        <v>167</v>
      </c>
      <c r="G174" s="21">
        <f t="shared" ref="G174" si="218">VLOOKUP(F174,Topics, 2, FALSE)</f>
        <v>26</v>
      </c>
      <c r="H174" s="24" t="s">
        <v>387</v>
      </c>
      <c r="I174" s="8" t="s">
        <v>391</v>
      </c>
      <c r="J174" s="20"/>
      <c r="K174" s="20"/>
    </row>
    <row r="175" spans="1:11" x14ac:dyDescent="0.25">
      <c r="A175" s="20">
        <f t="shared" si="98"/>
        <v>0</v>
      </c>
      <c r="B175" s="21" t="s">
        <v>1</v>
      </c>
      <c r="C175" s="21">
        <f t="shared" ref="C175" si="219">VLOOKUP(B175, Categories, 2, FALSE)</f>
        <v>2</v>
      </c>
      <c r="D175" s="21" t="s">
        <v>159</v>
      </c>
      <c r="E175" s="21">
        <f t="shared" ref="E175" si="220">VLOOKUP(D175,Subcategories, 2, FALSE)</f>
        <v>3</v>
      </c>
      <c r="F175" s="8" t="s">
        <v>167</v>
      </c>
      <c r="G175" s="21">
        <f t="shared" ref="G175" si="221">VLOOKUP(F175,Topics, 2, FALSE)</f>
        <v>26</v>
      </c>
      <c r="H175" s="24" t="s">
        <v>387</v>
      </c>
      <c r="I175" s="8" t="s">
        <v>392</v>
      </c>
      <c r="J175" s="20"/>
      <c r="K175" s="20"/>
    </row>
    <row r="176" spans="1:11" x14ac:dyDescent="0.25">
      <c r="A176" s="20">
        <f t="shared" si="98"/>
        <v>0</v>
      </c>
      <c r="B176" s="21" t="s">
        <v>1</v>
      </c>
      <c r="C176" s="21">
        <f t="shared" ref="C176" si="222">VLOOKUP(B176, Categories, 2, FALSE)</f>
        <v>2</v>
      </c>
      <c r="D176" s="21" t="s">
        <v>159</v>
      </c>
      <c r="E176" s="21">
        <f t="shared" ref="E176" si="223">VLOOKUP(D176,Subcategories, 2, FALSE)</f>
        <v>3</v>
      </c>
      <c r="F176" s="8" t="s">
        <v>167</v>
      </c>
      <c r="G176" s="21">
        <f t="shared" ref="G176" si="224">VLOOKUP(F176,Topics, 2, FALSE)</f>
        <v>26</v>
      </c>
      <c r="H176" s="24" t="s">
        <v>387</v>
      </c>
      <c r="I176" s="8" t="s">
        <v>393</v>
      </c>
      <c r="J176" s="20"/>
      <c r="K176" s="20"/>
    </row>
    <row r="177" spans="1:11" x14ac:dyDescent="0.25">
      <c r="A177" s="20">
        <f t="shared" si="98"/>
        <v>0</v>
      </c>
      <c r="B177" s="21" t="s">
        <v>1</v>
      </c>
      <c r="C177" s="21">
        <f t="shared" ref="C177" si="225">VLOOKUP(B177, Categories, 2, FALSE)</f>
        <v>2</v>
      </c>
      <c r="D177" s="21" t="s">
        <v>159</v>
      </c>
      <c r="E177" s="21">
        <f t="shared" ref="E177" si="226">VLOOKUP(D177,Subcategories, 2, FALSE)</f>
        <v>3</v>
      </c>
      <c r="F177" s="8" t="s">
        <v>167</v>
      </c>
      <c r="G177" s="21">
        <f t="shared" ref="G177" si="227">VLOOKUP(F177,Topics, 2, FALSE)</f>
        <v>26</v>
      </c>
      <c r="H177" s="24" t="s">
        <v>387</v>
      </c>
      <c r="I177" s="8" t="s">
        <v>394</v>
      </c>
      <c r="J177" s="20"/>
      <c r="K177" s="20"/>
    </row>
    <row r="178" spans="1:11" x14ac:dyDescent="0.25">
      <c r="A178" s="20">
        <f t="shared" si="98"/>
        <v>0</v>
      </c>
      <c r="B178" s="21" t="s">
        <v>1</v>
      </c>
      <c r="C178" s="21">
        <f t="shared" ref="C178" si="228">VLOOKUP(B178, Categories, 2, FALSE)</f>
        <v>2</v>
      </c>
      <c r="D178" s="21" t="s">
        <v>159</v>
      </c>
      <c r="E178" s="21">
        <f t="shared" ref="E178" si="229">VLOOKUP(D178,Subcategories, 2, FALSE)</f>
        <v>3</v>
      </c>
      <c r="F178" s="8" t="s">
        <v>167</v>
      </c>
      <c r="G178" s="21">
        <f t="shared" ref="G178" si="230">VLOOKUP(F178,Topics, 2, FALSE)</f>
        <v>26</v>
      </c>
      <c r="H178" s="24" t="s">
        <v>387</v>
      </c>
      <c r="I178" s="8" t="s">
        <v>395</v>
      </c>
      <c r="J178" s="20"/>
      <c r="K178" s="20"/>
    </row>
    <row r="179" spans="1:11" x14ac:dyDescent="0.25">
      <c r="A179" s="20">
        <f t="shared" si="98"/>
        <v>0</v>
      </c>
      <c r="B179" s="21" t="s">
        <v>1</v>
      </c>
      <c r="C179" s="21">
        <f t="shared" ref="C179" si="231">VLOOKUP(B179, Categories, 2, FALSE)</f>
        <v>2</v>
      </c>
      <c r="D179" s="21" t="s">
        <v>159</v>
      </c>
      <c r="E179" s="21">
        <f t="shared" ref="E179" si="232">VLOOKUP(D179,Subcategories, 2, FALSE)</f>
        <v>3</v>
      </c>
      <c r="F179" s="8" t="s">
        <v>167</v>
      </c>
      <c r="G179" s="21">
        <f t="shared" ref="G179" si="233">VLOOKUP(F179,Topics, 2, FALSE)</f>
        <v>26</v>
      </c>
      <c r="H179" s="24" t="s">
        <v>387</v>
      </c>
      <c r="I179" s="8" t="s">
        <v>396</v>
      </c>
      <c r="J179" s="20"/>
      <c r="K179" s="20"/>
    </row>
    <row r="180" spans="1:11" x14ac:dyDescent="0.25">
      <c r="A180" s="20">
        <f t="shared" si="98"/>
        <v>0</v>
      </c>
      <c r="B180" s="21" t="s">
        <v>1</v>
      </c>
      <c r="C180" s="21">
        <f t="shared" ref="C180" si="234">VLOOKUP(B180, Categories, 2, FALSE)</f>
        <v>2</v>
      </c>
      <c r="D180" s="21" t="s">
        <v>159</v>
      </c>
      <c r="E180" s="21">
        <f t="shared" ref="E180" si="235">VLOOKUP(D180,Subcategories, 2, FALSE)</f>
        <v>3</v>
      </c>
      <c r="F180" s="8" t="s">
        <v>167</v>
      </c>
      <c r="G180" s="21">
        <f t="shared" ref="G180" si="236">VLOOKUP(F180,Topics, 2, FALSE)</f>
        <v>26</v>
      </c>
      <c r="H180" s="24" t="s">
        <v>387</v>
      </c>
      <c r="I180" s="8" t="s">
        <v>397</v>
      </c>
      <c r="J180" s="20"/>
      <c r="K180" s="20"/>
    </row>
    <row r="181" spans="1:11" x14ac:dyDescent="0.25">
      <c r="A181" s="20">
        <f t="shared" si="98"/>
        <v>0</v>
      </c>
      <c r="B181" s="21" t="s">
        <v>1</v>
      </c>
      <c r="C181" s="21">
        <f t="shared" ref="C181" si="237">VLOOKUP(B181, Categories, 2, FALSE)</f>
        <v>2</v>
      </c>
      <c r="D181" s="21" t="s">
        <v>159</v>
      </c>
      <c r="E181" s="21">
        <f t="shared" ref="E181" si="238">VLOOKUP(D181,Subcategories, 2, FALSE)</f>
        <v>3</v>
      </c>
      <c r="F181" s="8" t="s">
        <v>167</v>
      </c>
      <c r="G181" s="21">
        <f t="shared" ref="G181" si="239">VLOOKUP(F181,Topics, 2, FALSE)</f>
        <v>26</v>
      </c>
      <c r="H181" s="24" t="s">
        <v>387</v>
      </c>
      <c r="I181" s="8" t="s">
        <v>398</v>
      </c>
      <c r="J181" s="20"/>
      <c r="K181" s="20"/>
    </row>
    <row r="182" spans="1:11" x14ac:dyDescent="0.25">
      <c r="A182" s="20">
        <f t="shared" si="98"/>
        <v>1</v>
      </c>
      <c r="B182" s="21" t="s">
        <v>1</v>
      </c>
      <c r="C182" s="21">
        <f t="shared" ref="C182" si="240">VLOOKUP(B182, Categories, 2, FALSE)</f>
        <v>2</v>
      </c>
      <c r="D182" s="21" t="s">
        <v>159</v>
      </c>
      <c r="E182" s="21">
        <f t="shared" ref="E182" si="241">VLOOKUP(D182,Subcategories, 2, FALSE)</f>
        <v>3</v>
      </c>
      <c r="F182" s="8" t="s">
        <v>169</v>
      </c>
      <c r="G182" s="21">
        <f t="shared" ref="G182" si="242">VLOOKUP(F182,Topics, 2, FALSE)</f>
        <v>27</v>
      </c>
      <c r="H182" s="17" t="s">
        <v>399</v>
      </c>
      <c r="I182" s="8"/>
      <c r="J182" s="20"/>
      <c r="K182" s="20"/>
    </row>
    <row r="183" spans="1:11" x14ac:dyDescent="0.25">
      <c r="A183" s="20">
        <f t="shared" si="98"/>
        <v>0</v>
      </c>
      <c r="B183" s="21" t="s">
        <v>1</v>
      </c>
      <c r="C183" s="21">
        <f t="shared" ref="C183" si="243">VLOOKUP(B183, Categories, 2, FALSE)</f>
        <v>2</v>
      </c>
      <c r="D183" s="21" t="s">
        <v>159</v>
      </c>
      <c r="E183" s="21">
        <f t="shared" ref="E183" si="244">VLOOKUP(D183,Subcategories, 2, FALSE)</f>
        <v>3</v>
      </c>
      <c r="F183" s="8" t="s">
        <v>159</v>
      </c>
      <c r="G183" s="21">
        <f t="shared" ref="G183" si="245">VLOOKUP(F183,Topics, 2, FALSE)</f>
        <v>28</v>
      </c>
      <c r="H183" s="24" t="s">
        <v>171</v>
      </c>
      <c r="I183" s="8"/>
      <c r="J183" s="20"/>
      <c r="K183" s="20"/>
    </row>
    <row r="184" spans="1:11" ht="30" x14ac:dyDescent="0.25">
      <c r="A184" s="20">
        <f t="shared" si="98"/>
        <v>1</v>
      </c>
      <c r="B184" s="21" t="s">
        <v>1</v>
      </c>
      <c r="C184" s="21">
        <f t="shared" ref="C184" si="246">VLOOKUP(B184, Categories, 2, FALSE)</f>
        <v>2</v>
      </c>
      <c r="D184" s="21" t="s">
        <v>159</v>
      </c>
      <c r="E184" s="21">
        <f t="shared" ref="E184" si="247">VLOOKUP(D184,Subcategories, 2, FALSE)</f>
        <v>3</v>
      </c>
      <c r="F184" s="8" t="s">
        <v>172</v>
      </c>
      <c r="G184" s="21">
        <f t="shared" ref="G184" si="248">VLOOKUP(F184,Topics, 2, FALSE)</f>
        <v>29</v>
      </c>
      <c r="H184" s="17" t="s">
        <v>173</v>
      </c>
      <c r="I184" s="8"/>
      <c r="J184" s="20"/>
      <c r="K184" s="20"/>
    </row>
    <row r="185" spans="1:11" x14ac:dyDescent="0.25">
      <c r="A185" s="20">
        <f t="shared" si="98"/>
        <v>0</v>
      </c>
      <c r="B185" s="21" t="s">
        <v>1</v>
      </c>
      <c r="C185" s="21">
        <f t="shared" ref="C185" si="249">VLOOKUP(B185, Categories, 2, FALSE)</f>
        <v>2</v>
      </c>
      <c r="D185" s="21" t="s">
        <v>159</v>
      </c>
      <c r="E185" s="21">
        <f t="shared" ref="E185" si="250">VLOOKUP(D185,Subcategories, 2, FALSE)</f>
        <v>3</v>
      </c>
      <c r="F185" s="8" t="s">
        <v>174</v>
      </c>
      <c r="G185" s="21">
        <f t="shared" ref="G185" si="251">VLOOKUP(F185,Topics, 2, FALSE)</f>
        <v>30</v>
      </c>
      <c r="H185" s="24" t="s">
        <v>175</v>
      </c>
      <c r="I185" s="8"/>
      <c r="J185" s="20"/>
      <c r="K185" s="20"/>
    </row>
    <row r="186" spans="1:11" x14ac:dyDescent="0.25">
      <c r="A186" s="20">
        <f t="shared" si="98"/>
        <v>1</v>
      </c>
      <c r="B186" s="21" t="s">
        <v>1</v>
      </c>
      <c r="C186" s="21">
        <f t="shared" ref="C186" si="252">VLOOKUP(B186, Categories, 2, FALSE)</f>
        <v>2</v>
      </c>
      <c r="D186" s="21" t="s">
        <v>159</v>
      </c>
      <c r="E186" s="21">
        <f t="shared" ref="E186" si="253">VLOOKUP(D186,Subcategories, 2, FALSE)</f>
        <v>3</v>
      </c>
      <c r="F186" s="8" t="s">
        <v>176</v>
      </c>
      <c r="G186" s="21">
        <f t="shared" ref="G186" si="254">VLOOKUP(F186,Topics, 2, FALSE)</f>
        <v>31</v>
      </c>
      <c r="H186" s="17" t="s">
        <v>177</v>
      </c>
      <c r="I186" s="8"/>
      <c r="J186" s="20"/>
      <c r="K186" s="20"/>
    </row>
    <row r="187" spans="1:11" x14ac:dyDescent="0.25">
      <c r="A187" s="20">
        <f t="shared" si="98"/>
        <v>0</v>
      </c>
      <c r="B187" s="21" t="s">
        <v>1</v>
      </c>
      <c r="C187" s="21">
        <f t="shared" ref="C187" si="255">VLOOKUP(B187, Categories, 2, FALSE)</f>
        <v>2</v>
      </c>
      <c r="D187" s="21" t="s">
        <v>159</v>
      </c>
      <c r="E187" s="21">
        <f t="shared" ref="E187" si="256">VLOOKUP(D187,Subcategories, 2, FALSE)</f>
        <v>3</v>
      </c>
      <c r="F187" s="8" t="s">
        <v>178</v>
      </c>
      <c r="G187" s="21">
        <f t="shared" ref="G187" si="257">VLOOKUP(F187,Topics, 2, FALSE)</f>
        <v>32</v>
      </c>
      <c r="H187" s="24" t="s">
        <v>179</v>
      </c>
      <c r="I187" s="8"/>
      <c r="J187" s="20"/>
      <c r="K187" s="20"/>
    </row>
    <row r="188" spans="1:11" x14ac:dyDescent="0.25">
      <c r="A188" s="20">
        <f t="shared" si="98"/>
        <v>1</v>
      </c>
      <c r="B188" s="21" t="s">
        <v>1</v>
      </c>
      <c r="C188" s="21">
        <f t="shared" ref="C188" si="258">VLOOKUP(B188, Categories, 2, FALSE)</f>
        <v>2</v>
      </c>
      <c r="D188" s="21" t="s">
        <v>159</v>
      </c>
      <c r="E188" s="21">
        <f t="shared" ref="E188" si="259">VLOOKUP(D188,Subcategories, 2, FALSE)</f>
        <v>3</v>
      </c>
      <c r="F188" s="8" t="s">
        <v>180</v>
      </c>
      <c r="G188" s="21">
        <f t="shared" ref="G188" si="260">VLOOKUP(F188,Topics, 2, FALSE)</f>
        <v>33</v>
      </c>
      <c r="H188" s="17" t="s">
        <v>181</v>
      </c>
      <c r="I188" s="8"/>
      <c r="J188" s="20"/>
      <c r="K188" s="20"/>
    </row>
    <row r="189" spans="1:11" x14ac:dyDescent="0.25">
      <c r="A189" s="20">
        <f t="shared" si="98"/>
        <v>0</v>
      </c>
      <c r="B189" s="21" t="s">
        <v>1</v>
      </c>
      <c r="C189" s="21">
        <f t="shared" ref="C189" si="261">VLOOKUP(B189, Categories, 2, FALSE)</f>
        <v>2</v>
      </c>
      <c r="D189" s="21" t="s">
        <v>159</v>
      </c>
      <c r="E189" s="21">
        <f t="shared" ref="E189" si="262">VLOOKUP(D189,Subcategories, 2, FALSE)</f>
        <v>3</v>
      </c>
      <c r="F189" s="8" t="s">
        <v>182</v>
      </c>
      <c r="G189" s="21">
        <f t="shared" ref="G189" si="263">VLOOKUP(F189,Topics, 2, FALSE)</f>
        <v>34</v>
      </c>
      <c r="H189" s="24" t="s">
        <v>183</v>
      </c>
      <c r="I189" s="8"/>
      <c r="J189" s="20"/>
      <c r="K189" s="20"/>
    </row>
    <row r="190" spans="1:11" ht="30" x14ac:dyDescent="0.25">
      <c r="A190" s="20">
        <f t="shared" si="98"/>
        <v>1</v>
      </c>
      <c r="B190" s="21" t="s">
        <v>1</v>
      </c>
      <c r="C190" s="21">
        <f t="shared" ref="C190" si="264">VLOOKUP(B190, Categories, 2, FALSE)</f>
        <v>2</v>
      </c>
      <c r="D190" s="21" t="s">
        <v>159</v>
      </c>
      <c r="E190" s="21">
        <f t="shared" ref="E190" si="265">VLOOKUP(D190,Subcategories, 2, FALSE)</f>
        <v>3</v>
      </c>
      <c r="F190" s="8" t="s">
        <v>184</v>
      </c>
      <c r="G190" s="21">
        <f t="shared" ref="G190" si="266">VLOOKUP(F190,Topics, 2, FALSE)</f>
        <v>35</v>
      </c>
      <c r="H190" s="17" t="s">
        <v>185</v>
      </c>
      <c r="I190" s="8"/>
      <c r="J190" s="20"/>
      <c r="K190" s="20"/>
    </row>
    <row r="191" spans="1:11" x14ac:dyDescent="0.25">
      <c r="A191" s="20">
        <f t="shared" si="98"/>
        <v>0</v>
      </c>
      <c r="B191" s="21" t="s">
        <v>1</v>
      </c>
      <c r="C191" s="21">
        <f t="shared" ref="C191" si="267">VLOOKUP(B191, Categories, 2, FALSE)</f>
        <v>2</v>
      </c>
      <c r="D191" s="21" t="s">
        <v>159</v>
      </c>
      <c r="E191" s="21">
        <f t="shared" ref="E191" si="268">VLOOKUP(D191,Subcategories, 2, FALSE)</f>
        <v>3</v>
      </c>
      <c r="F191" s="8" t="s">
        <v>186</v>
      </c>
      <c r="G191" s="21">
        <f t="shared" ref="G191" si="269">VLOOKUP(F191,Topics, 2, FALSE)</f>
        <v>36</v>
      </c>
      <c r="H191" s="24" t="s">
        <v>187</v>
      </c>
      <c r="I191" s="8"/>
      <c r="J191" s="20"/>
      <c r="K191" s="20"/>
    </row>
    <row r="192" spans="1:11" x14ac:dyDescent="0.25">
      <c r="A192" s="20">
        <f t="shared" si="98"/>
        <v>1</v>
      </c>
      <c r="B192" s="21" t="s">
        <v>1</v>
      </c>
      <c r="C192" s="21">
        <f t="shared" ref="C192" si="270">VLOOKUP(B192, Categories, 2, FALSE)</f>
        <v>2</v>
      </c>
      <c r="D192" s="21" t="s">
        <v>159</v>
      </c>
      <c r="E192" s="21">
        <f t="shared" ref="E192" si="271">VLOOKUP(D192,Subcategories, 2, FALSE)</f>
        <v>3</v>
      </c>
      <c r="F192" s="8" t="s">
        <v>188</v>
      </c>
      <c r="G192" s="21">
        <f t="shared" ref="G192" si="272">VLOOKUP(F192,Topics, 2, FALSE)</f>
        <v>37</v>
      </c>
      <c r="H192" s="17" t="s">
        <v>189</v>
      </c>
      <c r="I192" s="8"/>
      <c r="J192" s="20"/>
      <c r="K192" s="20"/>
    </row>
    <row r="193" spans="1:11" x14ac:dyDescent="0.25">
      <c r="A193" s="20">
        <f t="shared" si="98"/>
        <v>0</v>
      </c>
      <c r="B193" s="21" t="s">
        <v>1</v>
      </c>
      <c r="C193" s="21">
        <f t="shared" ref="C193" si="273">VLOOKUP(B193, Categories, 2, FALSE)</f>
        <v>2</v>
      </c>
      <c r="D193" s="21" t="s">
        <v>159</v>
      </c>
      <c r="E193" s="21">
        <f t="shared" ref="E193" si="274">VLOOKUP(D193,Subcategories, 2, FALSE)</f>
        <v>3</v>
      </c>
      <c r="F193" s="8" t="s">
        <v>190</v>
      </c>
      <c r="G193" s="21">
        <f t="shared" ref="G193" si="275">VLOOKUP(F193,Topics, 2, FALSE)</f>
        <v>38</v>
      </c>
      <c r="H193" s="24" t="s">
        <v>191</v>
      </c>
      <c r="I193" s="8"/>
      <c r="J193" s="20"/>
      <c r="K193" s="20"/>
    </row>
    <row r="194" spans="1:11" x14ac:dyDescent="0.25">
      <c r="A194" s="20">
        <f t="shared" ref="A194:A257" si="276">IF(F194&lt;&gt;F193,IF(A193=0,1,0),A193)</f>
        <v>1</v>
      </c>
      <c r="B194" s="21" t="s">
        <v>1</v>
      </c>
      <c r="C194" s="21">
        <f t="shared" ref="C194" si="277">VLOOKUP(B194, Categories, 2, FALSE)</f>
        <v>2</v>
      </c>
      <c r="D194" s="21" t="s">
        <v>159</v>
      </c>
      <c r="E194" s="21">
        <f t="shared" ref="E194" si="278">VLOOKUP(D194,Subcategories, 2, FALSE)</f>
        <v>3</v>
      </c>
      <c r="F194" s="8" t="s">
        <v>192</v>
      </c>
      <c r="G194" s="21">
        <f t="shared" ref="G194" si="279">VLOOKUP(F194,Topics, 2, FALSE)</f>
        <v>39</v>
      </c>
      <c r="H194" s="17" t="s">
        <v>193</v>
      </c>
      <c r="I194" s="8"/>
      <c r="J194" s="20"/>
      <c r="K194" s="20"/>
    </row>
    <row r="195" spans="1:11" x14ac:dyDescent="0.25">
      <c r="A195" s="20">
        <f t="shared" si="276"/>
        <v>0</v>
      </c>
      <c r="B195" s="21" t="s">
        <v>1</v>
      </c>
      <c r="C195" s="21">
        <f t="shared" ref="C195" si="280">VLOOKUP(B195, Categories, 2, FALSE)</f>
        <v>2</v>
      </c>
      <c r="D195" s="21" t="s">
        <v>159</v>
      </c>
      <c r="E195" s="21">
        <f t="shared" ref="E195" si="281">VLOOKUP(D195,Subcategories, 2, FALSE)</f>
        <v>3</v>
      </c>
      <c r="F195" s="8" t="s">
        <v>194</v>
      </c>
      <c r="G195" s="21">
        <f t="shared" ref="G195" si="282">VLOOKUP(F195,Topics, 2, FALSE)</f>
        <v>40</v>
      </c>
      <c r="H195" s="24" t="s">
        <v>195</v>
      </c>
      <c r="I195" s="8"/>
      <c r="J195" s="20"/>
      <c r="K195" s="20"/>
    </row>
    <row r="196" spans="1:11" x14ac:dyDescent="0.25">
      <c r="A196" s="20">
        <f t="shared" si="276"/>
        <v>1</v>
      </c>
      <c r="B196" s="21" t="s">
        <v>1</v>
      </c>
      <c r="C196" s="21">
        <f t="shared" ref="C196" si="283">VLOOKUP(B196, Categories, 2, FALSE)</f>
        <v>2</v>
      </c>
      <c r="D196" s="21" t="s">
        <v>159</v>
      </c>
      <c r="E196" s="21">
        <f t="shared" ref="E196" si="284">VLOOKUP(D196,Subcategories, 2, FALSE)</f>
        <v>3</v>
      </c>
      <c r="F196" s="8" t="s">
        <v>196</v>
      </c>
      <c r="G196" s="21">
        <f t="shared" ref="G196" si="285">VLOOKUP(F196,Topics, 2, FALSE)</f>
        <v>41</v>
      </c>
      <c r="H196" s="17" t="s">
        <v>197</v>
      </c>
      <c r="I196" s="8"/>
      <c r="J196" s="20"/>
      <c r="K196" s="20"/>
    </row>
    <row r="197" spans="1:11" x14ac:dyDescent="0.25">
      <c r="A197" s="20">
        <f t="shared" si="276"/>
        <v>0</v>
      </c>
      <c r="B197" s="21" t="s">
        <v>1</v>
      </c>
      <c r="C197" s="21">
        <f t="shared" ref="C197" si="286">VLOOKUP(B197, Categories, 2, FALSE)</f>
        <v>2</v>
      </c>
      <c r="D197" s="21" t="s">
        <v>159</v>
      </c>
      <c r="E197" s="21">
        <f t="shared" ref="E197" si="287">VLOOKUP(D197,Subcategories, 2, FALSE)</f>
        <v>3</v>
      </c>
      <c r="F197" s="8" t="s">
        <v>198</v>
      </c>
      <c r="G197" s="21">
        <f t="shared" ref="G197" si="288">VLOOKUP(F197,Topics, 2, FALSE)</f>
        <v>42</v>
      </c>
      <c r="H197" s="24"/>
      <c r="I197" s="8"/>
      <c r="J197" s="20"/>
      <c r="K197" s="20"/>
    </row>
    <row r="198" spans="1:11" x14ac:dyDescent="0.25">
      <c r="A198" s="20">
        <f t="shared" si="276"/>
        <v>0</v>
      </c>
      <c r="B198" s="21" t="s">
        <v>1</v>
      </c>
      <c r="C198" s="21">
        <f t="shared" ref="C198" si="289">VLOOKUP(B198, Categories, 2, FALSE)</f>
        <v>2</v>
      </c>
      <c r="D198" s="21" t="s">
        <v>159</v>
      </c>
      <c r="E198" s="21">
        <f t="shared" ref="E198" si="290">VLOOKUP(D198,Subcategories, 2, FALSE)</f>
        <v>3</v>
      </c>
      <c r="F198" s="8" t="s">
        <v>198</v>
      </c>
      <c r="G198" s="21">
        <f t="shared" ref="G198" si="291">VLOOKUP(F198,Topics, 2, FALSE)</f>
        <v>42</v>
      </c>
      <c r="H198" s="24"/>
      <c r="I198" s="8"/>
      <c r="J198" s="20"/>
      <c r="K198" s="20"/>
    </row>
    <row r="199" spans="1:11" x14ac:dyDescent="0.25">
      <c r="A199" s="20">
        <f t="shared" si="276"/>
        <v>0</v>
      </c>
      <c r="B199" s="21" t="s">
        <v>1</v>
      </c>
      <c r="C199" s="21">
        <f t="shared" ref="C199" si="292">VLOOKUP(B199, Categories, 2, FALSE)</f>
        <v>2</v>
      </c>
      <c r="D199" s="21" t="s">
        <v>159</v>
      </c>
      <c r="E199" s="21">
        <f t="shared" ref="E199" si="293">VLOOKUP(D199,Subcategories, 2, FALSE)</f>
        <v>3</v>
      </c>
      <c r="F199" s="8" t="s">
        <v>198</v>
      </c>
      <c r="G199" s="21">
        <f t="shared" ref="G199" si="294">VLOOKUP(F199,Topics, 2, FALSE)</f>
        <v>42</v>
      </c>
      <c r="H199" s="24"/>
      <c r="I199" s="8"/>
      <c r="J199" s="20"/>
      <c r="K199" s="20"/>
    </row>
    <row r="200" spans="1:11" x14ac:dyDescent="0.25">
      <c r="A200" s="20">
        <f t="shared" si="276"/>
        <v>1</v>
      </c>
      <c r="B200" s="21" t="s">
        <v>1</v>
      </c>
      <c r="C200" s="21">
        <f t="shared" si="95"/>
        <v>2</v>
      </c>
      <c r="D200" s="21" t="s">
        <v>199</v>
      </c>
      <c r="E200" s="21">
        <f t="shared" si="96"/>
        <v>4</v>
      </c>
      <c r="F200" s="8" t="s">
        <v>200</v>
      </c>
      <c r="G200" s="21">
        <f t="shared" si="97"/>
        <v>43</v>
      </c>
      <c r="H200" s="22" t="s">
        <v>201</v>
      </c>
      <c r="I200" s="8" t="s">
        <v>202</v>
      </c>
      <c r="J200" s="20"/>
      <c r="K200" s="20"/>
    </row>
    <row r="201" spans="1:11" x14ac:dyDescent="0.25">
      <c r="A201" s="20">
        <f t="shared" si="276"/>
        <v>1</v>
      </c>
      <c r="B201" s="21" t="s">
        <v>1</v>
      </c>
      <c r="C201" s="21">
        <f t="shared" si="95"/>
        <v>2</v>
      </c>
      <c r="D201" s="21" t="s">
        <v>199</v>
      </c>
      <c r="E201" s="21">
        <f t="shared" si="96"/>
        <v>4</v>
      </c>
      <c r="F201" s="8" t="s">
        <v>200</v>
      </c>
      <c r="G201" s="21">
        <f t="shared" si="97"/>
        <v>43</v>
      </c>
      <c r="H201" s="22" t="s">
        <v>201</v>
      </c>
      <c r="I201" s="8" t="s">
        <v>203</v>
      </c>
      <c r="J201" s="20"/>
      <c r="K201" s="20"/>
    </row>
    <row r="202" spans="1:11" x14ac:dyDescent="0.25">
      <c r="A202" s="20">
        <f t="shared" si="276"/>
        <v>1</v>
      </c>
      <c r="B202" s="21" t="s">
        <v>1</v>
      </c>
      <c r="C202" s="21">
        <f t="shared" si="95"/>
        <v>2</v>
      </c>
      <c r="D202" s="21" t="s">
        <v>199</v>
      </c>
      <c r="E202" s="21">
        <f t="shared" si="96"/>
        <v>4</v>
      </c>
      <c r="F202" s="8" t="s">
        <v>200</v>
      </c>
      <c r="G202" s="21">
        <f t="shared" si="97"/>
        <v>43</v>
      </c>
      <c r="H202" s="22" t="s">
        <v>201</v>
      </c>
      <c r="I202" s="8" t="s">
        <v>204</v>
      </c>
      <c r="J202" s="20"/>
      <c r="K202" s="20"/>
    </row>
    <row r="203" spans="1:11" x14ac:dyDescent="0.25">
      <c r="A203" s="20">
        <f t="shared" si="276"/>
        <v>1</v>
      </c>
      <c r="B203" s="21" t="s">
        <v>1</v>
      </c>
      <c r="C203" s="21">
        <f t="shared" si="95"/>
        <v>2</v>
      </c>
      <c r="D203" s="21" t="s">
        <v>199</v>
      </c>
      <c r="E203" s="21">
        <f t="shared" si="96"/>
        <v>4</v>
      </c>
      <c r="F203" s="8" t="s">
        <v>200</v>
      </c>
      <c r="G203" s="21">
        <f t="shared" si="97"/>
        <v>43</v>
      </c>
      <c r="H203" s="22" t="s">
        <v>201</v>
      </c>
      <c r="I203" s="8" t="s">
        <v>205</v>
      </c>
      <c r="J203" s="20"/>
      <c r="K203" s="20"/>
    </row>
    <row r="204" spans="1:11" x14ac:dyDescent="0.25">
      <c r="A204" s="20">
        <f t="shared" si="276"/>
        <v>1</v>
      </c>
      <c r="B204" s="21" t="s">
        <v>1</v>
      </c>
      <c r="C204" s="21">
        <f t="shared" si="95"/>
        <v>2</v>
      </c>
      <c r="D204" s="21" t="s">
        <v>199</v>
      </c>
      <c r="E204" s="21">
        <f t="shared" si="96"/>
        <v>4</v>
      </c>
      <c r="F204" s="8" t="s">
        <v>200</v>
      </c>
      <c r="G204" s="21">
        <f t="shared" si="97"/>
        <v>43</v>
      </c>
      <c r="H204" s="22" t="s">
        <v>201</v>
      </c>
      <c r="I204" s="8" t="s">
        <v>206</v>
      </c>
      <c r="J204" s="20"/>
      <c r="K204" s="20"/>
    </row>
    <row r="205" spans="1:11" x14ac:dyDescent="0.25">
      <c r="A205" s="20">
        <f t="shared" si="276"/>
        <v>1</v>
      </c>
      <c r="B205" s="21" t="s">
        <v>1</v>
      </c>
      <c r="C205" s="21">
        <f t="shared" si="95"/>
        <v>2</v>
      </c>
      <c r="D205" s="21" t="s">
        <v>199</v>
      </c>
      <c r="E205" s="21">
        <f t="shared" si="96"/>
        <v>4</v>
      </c>
      <c r="F205" s="8" t="s">
        <v>200</v>
      </c>
      <c r="G205" s="21">
        <f t="shared" si="97"/>
        <v>43</v>
      </c>
      <c r="H205" s="22" t="s">
        <v>201</v>
      </c>
      <c r="I205" s="8" t="s">
        <v>207</v>
      </c>
      <c r="J205" s="20"/>
      <c r="K205" s="20"/>
    </row>
    <row r="206" spans="1:11" x14ac:dyDescent="0.25">
      <c r="A206" s="20">
        <f t="shared" si="276"/>
        <v>1</v>
      </c>
      <c r="B206" s="21" t="s">
        <v>1</v>
      </c>
      <c r="C206" s="21">
        <f t="shared" si="95"/>
        <v>2</v>
      </c>
      <c r="D206" s="21" t="s">
        <v>199</v>
      </c>
      <c r="E206" s="21">
        <f t="shared" si="96"/>
        <v>4</v>
      </c>
      <c r="F206" s="8" t="s">
        <v>200</v>
      </c>
      <c r="G206" s="21">
        <f t="shared" si="97"/>
        <v>43</v>
      </c>
      <c r="H206" s="22" t="s">
        <v>201</v>
      </c>
      <c r="I206" s="8" t="s">
        <v>208</v>
      </c>
      <c r="J206" s="20"/>
      <c r="K206" s="20"/>
    </row>
    <row r="207" spans="1:11" x14ac:dyDescent="0.25">
      <c r="A207" s="20">
        <f t="shared" si="276"/>
        <v>1</v>
      </c>
      <c r="B207" s="21" t="s">
        <v>1</v>
      </c>
      <c r="C207" s="21">
        <f t="shared" si="95"/>
        <v>2</v>
      </c>
      <c r="D207" s="21" t="s">
        <v>199</v>
      </c>
      <c r="E207" s="21">
        <f t="shared" si="96"/>
        <v>4</v>
      </c>
      <c r="F207" s="8" t="s">
        <v>200</v>
      </c>
      <c r="G207" s="21">
        <f t="shared" si="97"/>
        <v>43</v>
      </c>
      <c r="H207" s="22" t="s">
        <v>201</v>
      </c>
      <c r="I207" s="8" t="s">
        <v>209</v>
      </c>
      <c r="J207" s="20"/>
      <c r="K207" s="20"/>
    </row>
    <row r="208" spans="1:11" x14ac:dyDescent="0.25">
      <c r="A208" s="20">
        <f t="shared" si="276"/>
        <v>1</v>
      </c>
      <c r="B208" s="21" t="s">
        <v>1</v>
      </c>
      <c r="C208" s="21">
        <f t="shared" si="95"/>
        <v>2</v>
      </c>
      <c r="D208" s="21" t="s">
        <v>199</v>
      </c>
      <c r="E208" s="21">
        <f t="shared" si="96"/>
        <v>4</v>
      </c>
      <c r="F208" s="8" t="s">
        <v>200</v>
      </c>
      <c r="G208" s="21">
        <f t="shared" si="97"/>
        <v>43</v>
      </c>
      <c r="H208" s="22" t="s">
        <v>201</v>
      </c>
      <c r="I208" s="8" t="s">
        <v>210</v>
      </c>
      <c r="J208" s="20"/>
      <c r="K208" s="20"/>
    </row>
    <row r="209" spans="1:11" x14ac:dyDescent="0.25">
      <c r="A209" s="20">
        <f t="shared" si="276"/>
        <v>1</v>
      </c>
      <c r="B209" s="21" t="s">
        <v>1</v>
      </c>
      <c r="C209" s="21">
        <f t="shared" si="95"/>
        <v>2</v>
      </c>
      <c r="D209" s="21" t="s">
        <v>199</v>
      </c>
      <c r="E209" s="21">
        <f t="shared" si="96"/>
        <v>4</v>
      </c>
      <c r="F209" s="8" t="s">
        <v>200</v>
      </c>
      <c r="G209" s="21">
        <f t="shared" si="97"/>
        <v>43</v>
      </c>
      <c r="H209" s="22" t="s">
        <v>201</v>
      </c>
      <c r="I209" s="8" t="s">
        <v>211</v>
      </c>
      <c r="J209" s="20"/>
      <c r="K209" s="20"/>
    </row>
    <row r="210" spans="1:11" x14ac:dyDescent="0.25">
      <c r="A210" s="20">
        <f t="shared" si="276"/>
        <v>0</v>
      </c>
      <c r="B210" s="21" t="s">
        <v>1</v>
      </c>
      <c r="C210" s="21">
        <f t="shared" si="95"/>
        <v>2</v>
      </c>
      <c r="D210" s="21" t="s">
        <v>199</v>
      </c>
      <c r="E210" s="21">
        <f t="shared" si="96"/>
        <v>4</v>
      </c>
      <c r="F210" s="8" t="s">
        <v>212</v>
      </c>
      <c r="G210" s="21">
        <f t="shared" si="97"/>
        <v>44</v>
      </c>
      <c r="H210" s="22" t="s">
        <v>213</v>
      </c>
      <c r="I210" s="8" t="s">
        <v>214</v>
      </c>
      <c r="J210" s="20"/>
      <c r="K210" s="20"/>
    </row>
    <row r="211" spans="1:11" x14ac:dyDescent="0.25">
      <c r="A211" s="20">
        <f t="shared" si="276"/>
        <v>0</v>
      </c>
      <c r="B211" s="21" t="s">
        <v>1</v>
      </c>
      <c r="C211" s="21">
        <f t="shared" si="95"/>
        <v>2</v>
      </c>
      <c r="D211" s="21" t="s">
        <v>199</v>
      </c>
      <c r="E211" s="21">
        <f t="shared" si="96"/>
        <v>4</v>
      </c>
      <c r="F211" s="8" t="s">
        <v>212</v>
      </c>
      <c r="G211" s="21">
        <f t="shared" si="97"/>
        <v>44</v>
      </c>
      <c r="H211" s="22" t="s">
        <v>213</v>
      </c>
      <c r="I211" s="8" t="s">
        <v>215</v>
      </c>
      <c r="J211" s="20"/>
      <c r="K211" s="20"/>
    </row>
    <row r="212" spans="1:11" x14ac:dyDescent="0.25">
      <c r="A212" s="20">
        <f t="shared" si="276"/>
        <v>0</v>
      </c>
      <c r="B212" s="21" t="s">
        <v>1</v>
      </c>
      <c r="C212" s="21">
        <f t="shared" si="95"/>
        <v>2</v>
      </c>
      <c r="D212" s="21" t="s">
        <v>199</v>
      </c>
      <c r="E212" s="21">
        <f t="shared" si="96"/>
        <v>4</v>
      </c>
      <c r="F212" s="8" t="s">
        <v>212</v>
      </c>
      <c r="G212" s="21">
        <f t="shared" si="97"/>
        <v>44</v>
      </c>
      <c r="H212" s="22" t="s">
        <v>213</v>
      </c>
      <c r="I212" s="8" t="s">
        <v>216</v>
      </c>
      <c r="J212" s="20"/>
      <c r="K212" s="20"/>
    </row>
    <row r="213" spans="1:11" x14ac:dyDescent="0.25">
      <c r="A213" s="20">
        <f t="shared" si="276"/>
        <v>0</v>
      </c>
      <c r="B213" s="21" t="s">
        <v>1</v>
      </c>
      <c r="C213" s="21">
        <f t="shared" si="95"/>
        <v>2</v>
      </c>
      <c r="D213" s="21" t="s">
        <v>199</v>
      </c>
      <c r="E213" s="21">
        <f t="shared" si="96"/>
        <v>4</v>
      </c>
      <c r="F213" s="8" t="s">
        <v>212</v>
      </c>
      <c r="G213" s="21">
        <f t="shared" si="97"/>
        <v>44</v>
      </c>
      <c r="H213" s="22" t="s">
        <v>213</v>
      </c>
      <c r="I213" s="8" t="s">
        <v>217</v>
      </c>
      <c r="J213" s="20"/>
      <c r="K213" s="20"/>
    </row>
    <row r="214" spans="1:11" x14ac:dyDescent="0.25">
      <c r="A214" s="20">
        <f t="shared" si="276"/>
        <v>1</v>
      </c>
      <c r="B214" s="21" t="s">
        <v>1</v>
      </c>
      <c r="C214" s="21">
        <f t="shared" si="95"/>
        <v>2</v>
      </c>
      <c r="D214" s="21" t="s">
        <v>199</v>
      </c>
      <c r="E214" s="21">
        <f t="shared" si="96"/>
        <v>4</v>
      </c>
      <c r="F214" s="8" t="s">
        <v>218</v>
      </c>
      <c r="G214" s="21">
        <f t="shared" si="97"/>
        <v>45</v>
      </c>
      <c r="H214" s="22" t="s">
        <v>219</v>
      </c>
      <c r="I214" s="8" t="s">
        <v>220</v>
      </c>
      <c r="J214" s="20"/>
      <c r="K214" s="20"/>
    </row>
    <row r="215" spans="1:11" x14ac:dyDescent="0.25">
      <c r="A215" s="20">
        <f t="shared" si="276"/>
        <v>1</v>
      </c>
      <c r="B215" s="21" t="s">
        <v>1</v>
      </c>
      <c r="C215" s="21">
        <f t="shared" ref="C215:C253" si="295">VLOOKUP(B215, Categories, 2, FALSE)</f>
        <v>2</v>
      </c>
      <c r="D215" s="21" t="s">
        <v>199</v>
      </c>
      <c r="E215" s="21">
        <f t="shared" ref="E215:E253" si="296">VLOOKUP(D215,Subcategories, 2, FALSE)</f>
        <v>4</v>
      </c>
      <c r="F215" s="8" t="s">
        <v>218</v>
      </c>
      <c r="G215" s="21">
        <f t="shared" ref="G215:G253" si="297">VLOOKUP(F215,Topics, 2, FALSE)</f>
        <v>45</v>
      </c>
      <c r="H215" s="22" t="s">
        <v>219</v>
      </c>
      <c r="I215" s="8" t="s">
        <v>221</v>
      </c>
      <c r="J215" s="20"/>
      <c r="K215" s="20"/>
    </row>
    <row r="216" spans="1:11" x14ac:dyDescent="0.25">
      <c r="A216" s="20">
        <f t="shared" si="276"/>
        <v>1</v>
      </c>
      <c r="B216" s="21" t="s">
        <v>1</v>
      </c>
      <c r="C216" s="21">
        <f t="shared" si="295"/>
        <v>2</v>
      </c>
      <c r="D216" s="21" t="s">
        <v>199</v>
      </c>
      <c r="E216" s="21">
        <f t="shared" si="296"/>
        <v>4</v>
      </c>
      <c r="F216" s="8" t="s">
        <v>218</v>
      </c>
      <c r="G216" s="21">
        <f t="shared" si="297"/>
        <v>45</v>
      </c>
      <c r="H216" s="22" t="s">
        <v>219</v>
      </c>
      <c r="I216" s="8" t="s">
        <v>222</v>
      </c>
      <c r="J216" s="20"/>
      <c r="K216" s="20"/>
    </row>
    <row r="217" spans="1:11" x14ac:dyDescent="0.25">
      <c r="A217" s="20">
        <f t="shared" si="276"/>
        <v>1</v>
      </c>
      <c r="B217" s="21" t="s">
        <v>1</v>
      </c>
      <c r="C217" s="21">
        <f t="shared" si="295"/>
        <v>2</v>
      </c>
      <c r="D217" s="21" t="s">
        <v>199</v>
      </c>
      <c r="E217" s="21">
        <f t="shared" si="296"/>
        <v>4</v>
      </c>
      <c r="F217" s="8" t="s">
        <v>218</v>
      </c>
      <c r="G217" s="21">
        <f t="shared" si="297"/>
        <v>45</v>
      </c>
      <c r="H217" s="22" t="s">
        <v>219</v>
      </c>
      <c r="I217" s="8" t="s">
        <v>223</v>
      </c>
      <c r="J217" s="20"/>
      <c r="K217" s="20"/>
    </row>
    <row r="218" spans="1:11" x14ac:dyDescent="0.25">
      <c r="A218" s="20">
        <f t="shared" si="276"/>
        <v>1</v>
      </c>
      <c r="B218" s="21" t="s">
        <v>1</v>
      </c>
      <c r="C218" s="21">
        <f t="shared" si="295"/>
        <v>2</v>
      </c>
      <c r="D218" s="21" t="s">
        <v>199</v>
      </c>
      <c r="E218" s="21">
        <f t="shared" si="296"/>
        <v>4</v>
      </c>
      <c r="F218" s="8" t="s">
        <v>218</v>
      </c>
      <c r="G218" s="21">
        <f t="shared" si="297"/>
        <v>45</v>
      </c>
      <c r="H218" s="22" t="s">
        <v>219</v>
      </c>
      <c r="I218" s="8" t="s">
        <v>224</v>
      </c>
      <c r="J218" s="20"/>
      <c r="K218" s="20"/>
    </row>
    <row r="219" spans="1:11" x14ac:dyDescent="0.25">
      <c r="A219" s="20">
        <f t="shared" si="276"/>
        <v>0</v>
      </c>
      <c r="B219" s="21" t="s">
        <v>1</v>
      </c>
      <c r="C219" s="21">
        <f t="shared" si="295"/>
        <v>2</v>
      </c>
      <c r="D219" s="21" t="s">
        <v>199</v>
      </c>
      <c r="E219" s="21">
        <f t="shared" si="296"/>
        <v>4</v>
      </c>
      <c r="F219" s="8" t="s">
        <v>225</v>
      </c>
      <c r="G219" s="21">
        <f t="shared" si="297"/>
        <v>46</v>
      </c>
      <c r="H219" s="22" t="s">
        <v>226</v>
      </c>
      <c r="I219" s="8" t="s">
        <v>227</v>
      </c>
      <c r="J219" s="20"/>
      <c r="K219" s="20"/>
    </row>
    <row r="220" spans="1:11" x14ac:dyDescent="0.25">
      <c r="A220" s="20">
        <f t="shared" si="276"/>
        <v>0</v>
      </c>
      <c r="B220" s="21" t="s">
        <v>1</v>
      </c>
      <c r="C220" s="21">
        <f t="shared" si="295"/>
        <v>2</v>
      </c>
      <c r="D220" s="21" t="s">
        <v>199</v>
      </c>
      <c r="E220" s="21">
        <f t="shared" si="296"/>
        <v>4</v>
      </c>
      <c r="F220" s="8" t="s">
        <v>225</v>
      </c>
      <c r="G220" s="21">
        <f t="shared" si="297"/>
        <v>46</v>
      </c>
      <c r="H220" s="22" t="s">
        <v>226</v>
      </c>
      <c r="I220" s="8" t="s">
        <v>228</v>
      </c>
      <c r="J220" s="20"/>
      <c r="K220" s="20"/>
    </row>
    <row r="221" spans="1:11" x14ac:dyDescent="0.25">
      <c r="A221" s="20">
        <f t="shared" si="276"/>
        <v>0</v>
      </c>
      <c r="B221" s="21" t="s">
        <v>1</v>
      </c>
      <c r="C221" s="21">
        <f t="shared" si="295"/>
        <v>2</v>
      </c>
      <c r="D221" s="21" t="s">
        <v>199</v>
      </c>
      <c r="E221" s="21">
        <f t="shared" si="296"/>
        <v>4</v>
      </c>
      <c r="F221" s="8" t="s">
        <v>225</v>
      </c>
      <c r="G221" s="21">
        <f t="shared" si="297"/>
        <v>46</v>
      </c>
      <c r="H221" s="22" t="s">
        <v>226</v>
      </c>
      <c r="I221" s="8" t="s">
        <v>229</v>
      </c>
      <c r="J221" s="20"/>
      <c r="K221" s="20"/>
    </row>
    <row r="222" spans="1:11" x14ac:dyDescent="0.25">
      <c r="A222" s="20">
        <f t="shared" si="276"/>
        <v>0</v>
      </c>
      <c r="B222" s="21" t="s">
        <v>1</v>
      </c>
      <c r="C222" s="21">
        <f t="shared" si="295"/>
        <v>2</v>
      </c>
      <c r="D222" s="21" t="s">
        <v>199</v>
      </c>
      <c r="E222" s="21">
        <f t="shared" si="296"/>
        <v>4</v>
      </c>
      <c r="F222" s="8" t="s">
        <v>225</v>
      </c>
      <c r="G222" s="21">
        <f t="shared" si="297"/>
        <v>46</v>
      </c>
      <c r="H222" s="22" t="s">
        <v>226</v>
      </c>
      <c r="I222" s="8" t="s">
        <v>230</v>
      </c>
      <c r="J222" s="20"/>
      <c r="K222" s="20"/>
    </row>
    <row r="223" spans="1:11" x14ac:dyDescent="0.25">
      <c r="A223" s="20">
        <f t="shared" si="276"/>
        <v>0</v>
      </c>
      <c r="B223" s="21" t="s">
        <v>1</v>
      </c>
      <c r="C223" s="21">
        <f t="shared" si="295"/>
        <v>2</v>
      </c>
      <c r="D223" s="21" t="s">
        <v>199</v>
      </c>
      <c r="E223" s="21">
        <f t="shared" si="296"/>
        <v>4</v>
      </c>
      <c r="F223" s="8" t="s">
        <v>225</v>
      </c>
      <c r="G223" s="21">
        <f t="shared" si="297"/>
        <v>46</v>
      </c>
      <c r="H223" s="22" t="s">
        <v>226</v>
      </c>
      <c r="I223" s="8" t="s">
        <v>231</v>
      </c>
      <c r="J223" s="20"/>
      <c r="K223" s="20"/>
    </row>
    <row r="224" spans="1:11" x14ac:dyDescent="0.25">
      <c r="A224" s="20">
        <f t="shared" si="276"/>
        <v>0</v>
      </c>
      <c r="B224" s="21" t="s">
        <v>1</v>
      </c>
      <c r="C224" s="21">
        <f t="shared" si="295"/>
        <v>2</v>
      </c>
      <c r="D224" s="21" t="s">
        <v>199</v>
      </c>
      <c r="E224" s="21">
        <f t="shared" si="296"/>
        <v>4</v>
      </c>
      <c r="F224" s="8" t="s">
        <v>225</v>
      </c>
      <c r="G224" s="21">
        <f t="shared" si="297"/>
        <v>46</v>
      </c>
      <c r="H224" s="22" t="s">
        <v>226</v>
      </c>
      <c r="I224" s="8" t="s">
        <v>232</v>
      </c>
      <c r="J224" s="20"/>
      <c r="K224" s="20"/>
    </row>
    <row r="225" spans="1:11" x14ac:dyDescent="0.25">
      <c r="A225" s="20">
        <f t="shared" si="276"/>
        <v>0</v>
      </c>
      <c r="B225" s="21" t="s">
        <v>1</v>
      </c>
      <c r="C225" s="21">
        <f t="shared" si="295"/>
        <v>2</v>
      </c>
      <c r="D225" s="21" t="s">
        <v>199</v>
      </c>
      <c r="E225" s="21">
        <f t="shared" si="296"/>
        <v>4</v>
      </c>
      <c r="F225" s="8" t="s">
        <v>225</v>
      </c>
      <c r="G225" s="21">
        <f t="shared" si="297"/>
        <v>46</v>
      </c>
      <c r="H225" s="22" t="s">
        <v>226</v>
      </c>
      <c r="I225" s="8" t="s">
        <v>233</v>
      </c>
      <c r="J225" s="20"/>
      <c r="K225" s="20"/>
    </row>
    <row r="226" spans="1:11" x14ac:dyDescent="0.25">
      <c r="A226" s="20">
        <f t="shared" si="276"/>
        <v>1</v>
      </c>
      <c r="B226" s="21" t="s">
        <v>1</v>
      </c>
      <c r="C226" s="21">
        <f t="shared" si="295"/>
        <v>2</v>
      </c>
      <c r="D226" s="21" t="s">
        <v>199</v>
      </c>
      <c r="E226" s="21">
        <f t="shared" si="296"/>
        <v>4</v>
      </c>
      <c r="F226" s="8" t="s">
        <v>234</v>
      </c>
      <c r="G226" s="21">
        <f t="shared" si="297"/>
        <v>47</v>
      </c>
      <c r="H226" s="22" t="s">
        <v>235</v>
      </c>
      <c r="I226" s="8" t="s">
        <v>236</v>
      </c>
      <c r="J226" s="20"/>
      <c r="K226" s="20"/>
    </row>
    <row r="227" spans="1:11" x14ac:dyDescent="0.25">
      <c r="A227" s="20">
        <f t="shared" si="276"/>
        <v>1</v>
      </c>
      <c r="B227" s="21" t="s">
        <v>1</v>
      </c>
      <c r="C227" s="21">
        <f t="shared" si="295"/>
        <v>2</v>
      </c>
      <c r="D227" s="21" t="s">
        <v>199</v>
      </c>
      <c r="E227" s="21">
        <f t="shared" si="296"/>
        <v>4</v>
      </c>
      <c r="F227" s="8" t="s">
        <v>234</v>
      </c>
      <c r="G227" s="21">
        <f t="shared" si="297"/>
        <v>47</v>
      </c>
      <c r="H227" s="22" t="s">
        <v>235</v>
      </c>
      <c r="I227" s="8" t="s">
        <v>365</v>
      </c>
      <c r="J227" s="20"/>
      <c r="K227" s="20"/>
    </row>
    <row r="228" spans="1:11" x14ac:dyDescent="0.25">
      <c r="A228" s="20">
        <f t="shared" si="276"/>
        <v>1</v>
      </c>
      <c r="B228" s="21" t="s">
        <v>1</v>
      </c>
      <c r="C228" s="21">
        <f t="shared" ref="C228" si="298">VLOOKUP(B228, Categories, 2, FALSE)</f>
        <v>2</v>
      </c>
      <c r="D228" s="21" t="s">
        <v>199</v>
      </c>
      <c r="E228" s="21">
        <f t="shared" ref="E228" si="299">VLOOKUP(D228,Subcategories, 2, FALSE)</f>
        <v>4</v>
      </c>
      <c r="F228" s="8" t="s">
        <v>234</v>
      </c>
      <c r="G228" s="21">
        <f t="shared" ref="G228" si="300">VLOOKUP(F228,Topics, 2, FALSE)</f>
        <v>47</v>
      </c>
      <c r="H228" s="22" t="s">
        <v>235</v>
      </c>
      <c r="I228" s="8" t="s">
        <v>237</v>
      </c>
      <c r="J228" s="20"/>
      <c r="K228" s="20"/>
    </row>
    <row r="229" spans="1:11" x14ac:dyDescent="0.25">
      <c r="A229" s="20">
        <f t="shared" si="276"/>
        <v>0</v>
      </c>
      <c r="B229" s="21" t="s">
        <v>1</v>
      </c>
      <c r="C229" s="21">
        <f t="shared" si="295"/>
        <v>2</v>
      </c>
      <c r="D229" s="21" t="s">
        <v>199</v>
      </c>
      <c r="E229" s="21">
        <f t="shared" si="296"/>
        <v>4</v>
      </c>
      <c r="F229" s="8" t="s">
        <v>238</v>
      </c>
      <c r="G229" s="21">
        <f t="shared" si="297"/>
        <v>48</v>
      </c>
      <c r="H229" s="22" t="s">
        <v>239</v>
      </c>
      <c r="I229" s="8" t="s">
        <v>240</v>
      </c>
      <c r="J229" s="20"/>
      <c r="K229" s="20"/>
    </row>
    <row r="230" spans="1:11" x14ac:dyDescent="0.25">
      <c r="A230" s="20">
        <f t="shared" si="276"/>
        <v>0</v>
      </c>
      <c r="B230" s="21" t="s">
        <v>1</v>
      </c>
      <c r="C230" s="21">
        <f t="shared" si="295"/>
        <v>2</v>
      </c>
      <c r="D230" s="21" t="s">
        <v>199</v>
      </c>
      <c r="E230" s="21">
        <f t="shared" si="296"/>
        <v>4</v>
      </c>
      <c r="F230" s="8" t="s">
        <v>238</v>
      </c>
      <c r="G230" s="21">
        <f t="shared" si="297"/>
        <v>48</v>
      </c>
      <c r="H230" s="22" t="s">
        <v>239</v>
      </c>
      <c r="I230" s="8" t="s">
        <v>241</v>
      </c>
      <c r="J230" s="20"/>
      <c r="K230" s="20"/>
    </row>
    <row r="231" spans="1:11" x14ac:dyDescent="0.25">
      <c r="A231" s="20">
        <f t="shared" si="276"/>
        <v>0</v>
      </c>
      <c r="B231" s="21" t="s">
        <v>1</v>
      </c>
      <c r="C231" s="21">
        <f t="shared" si="295"/>
        <v>2</v>
      </c>
      <c r="D231" s="21" t="s">
        <v>199</v>
      </c>
      <c r="E231" s="21">
        <f t="shared" si="296"/>
        <v>4</v>
      </c>
      <c r="F231" s="8" t="s">
        <v>238</v>
      </c>
      <c r="G231" s="21">
        <f t="shared" si="297"/>
        <v>48</v>
      </c>
      <c r="H231" s="22" t="s">
        <v>239</v>
      </c>
      <c r="I231" s="8" t="s">
        <v>65</v>
      </c>
      <c r="J231" s="20"/>
      <c r="K231" s="20"/>
    </row>
    <row r="232" spans="1:11" x14ac:dyDescent="0.25">
      <c r="A232" s="20">
        <f t="shared" si="276"/>
        <v>0</v>
      </c>
      <c r="B232" s="21" t="s">
        <v>1</v>
      </c>
      <c r="C232" s="21">
        <f t="shared" si="295"/>
        <v>2</v>
      </c>
      <c r="D232" s="21" t="s">
        <v>199</v>
      </c>
      <c r="E232" s="21">
        <f t="shared" si="296"/>
        <v>4</v>
      </c>
      <c r="F232" s="8" t="s">
        <v>238</v>
      </c>
      <c r="G232" s="21">
        <f t="shared" si="297"/>
        <v>48</v>
      </c>
      <c r="H232" s="22" t="s">
        <v>239</v>
      </c>
      <c r="I232" s="8" t="s">
        <v>242</v>
      </c>
      <c r="J232" s="20"/>
      <c r="K232" s="20"/>
    </row>
    <row r="233" spans="1:11" x14ac:dyDescent="0.25">
      <c r="A233" s="20">
        <f t="shared" si="276"/>
        <v>0</v>
      </c>
      <c r="B233" s="21" t="s">
        <v>1</v>
      </c>
      <c r="C233" s="21">
        <f t="shared" si="295"/>
        <v>2</v>
      </c>
      <c r="D233" s="21" t="s">
        <v>199</v>
      </c>
      <c r="E233" s="21">
        <f t="shared" si="296"/>
        <v>4</v>
      </c>
      <c r="F233" s="8" t="s">
        <v>238</v>
      </c>
      <c r="G233" s="21">
        <f t="shared" si="297"/>
        <v>48</v>
      </c>
      <c r="H233" s="22" t="s">
        <v>239</v>
      </c>
      <c r="I233" s="8" t="s">
        <v>266</v>
      </c>
      <c r="J233" s="20"/>
      <c r="K233" s="20"/>
    </row>
    <row r="234" spans="1:11" x14ac:dyDescent="0.25">
      <c r="A234" s="20">
        <f t="shared" si="276"/>
        <v>0</v>
      </c>
      <c r="B234" s="21" t="s">
        <v>1</v>
      </c>
      <c r="C234" s="21">
        <f t="shared" ref="C234" si="301">VLOOKUP(B234, Categories, 2, FALSE)</f>
        <v>2</v>
      </c>
      <c r="D234" s="21" t="s">
        <v>199</v>
      </c>
      <c r="E234" s="21">
        <f t="shared" ref="E234" si="302">VLOOKUP(D234,Subcategories, 2, FALSE)</f>
        <v>4</v>
      </c>
      <c r="F234" s="8" t="s">
        <v>238</v>
      </c>
      <c r="G234" s="21">
        <f t="shared" ref="G234" si="303">VLOOKUP(F234,Topics, 2, FALSE)</f>
        <v>48</v>
      </c>
      <c r="H234" s="22" t="s">
        <v>239</v>
      </c>
      <c r="I234" s="8" t="s">
        <v>267</v>
      </c>
      <c r="J234" s="20"/>
      <c r="K234" s="20"/>
    </row>
    <row r="235" spans="1:11" x14ac:dyDescent="0.25">
      <c r="A235" s="20">
        <f t="shared" si="276"/>
        <v>0</v>
      </c>
      <c r="B235" s="21" t="s">
        <v>1</v>
      </c>
      <c r="C235" s="21">
        <f t="shared" ref="C235" si="304">VLOOKUP(B235, Categories, 2, FALSE)</f>
        <v>2</v>
      </c>
      <c r="D235" s="21" t="s">
        <v>199</v>
      </c>
      <c r="E235" s="21">
        <f t="shared" ref="E235" si="305">VLOOKUP(D235,Subcategories, 2, FALSE)</f>
        <v>4</v>
      </c>
      <c r="F235" s="8" t="s">
        <v>238</v>
      </c>
      <c r="G235" s="21">
        <f t="shared" ref="G235" si="306">VLOOKUP(F235,Topics, 2, FALSE)</f>
        <v>48</v>
      </c>
      <c r="H235" s="22" t="s">
        <v>239</v>
      </c>
      <c r="I235" s="8" t="s">
        <v>268</v>
      </c>
      <c r="J235" s="20"/>
      <c r="K235" s="20"/>
    </row>
    <row r="236" spans="1:11" x14ac:dyDescent="0.25">
      <c r="A236" s="20">
        <f t="shared" si="276"/>
        <v>0</v>
      </c>
      <c r="B236" s="21" t="s">
        <v>1</v>
      </c>
      <c r="C236" s="21">
        <f t="shared" ref="C236" si="307">VLOOKUP(B236, Categories, 2, FALSE)</f>
        <v>2</v>
      </c>
      <c r="D236" s="21" t="s">
        <v>199</v>
      </c>
      <c r="E236" s="21">
        <f t="shared" ref="E236" si="308">VLOOKUP(D236,Subcategories, 2, FALSE)</f>
        <v>4</v>
      </c>
      <c r="F236" s="8" t="s">
        <v>238</v>
      </c>
      <c r="G236" s="21">
        <f t="shared" ref="G236" si="309">VLOOKUP(F236,Topics, 2, FALSE)</f>
        <v>48</v>
      </c>
      <c r="H236" s="22" t="s">
        <v>239</v>
      </c>
      <c r="I236" s="8" t="s">
        <v>269</v>
      </c>
      <c r="J236" s="20"/>
      <c r="K236" s="20"/>
    </row>
    <row r="237" spans="1:11" x14ac:dyDescent="0.25">
      <c r="A237" s="20">
        <f t="shared" si="276"/>
        <v>0</v>
      </c>
      <c r="B237" s="21" t="s">
        <v>1</v>
      </c>
      <c r="C237" s="21">
        <f t="shared" ref="C237" si="310">VLOOKUP(B237, Categories, 2, FALSE)</f>
        <v>2</v>
      </c>
      <c r="D237" s="21" t="s">
        <v>199</v>
      </c>
      <c r="E237" s="21">
        <f t="shared" ref="E237" si="311">VLOOKUP(D237,Subcategories, 2, FALSE)</f>
        <v>4</v>
      </c>
      <c r="F237" s="8" t="s">
        <v>238</v>
      </c>
      <c r="G237" s="21">
        <f t="shared" ref="G237" si="312">VLOOKUP(F237,Topics, 2, FALSE)</f>
        <v>48</v>
      </c>
      <c r="H237" s="22" t="s">
        <v>239</v>
      </c>
      <c r="I237" s="8" t="s">
        <v>243</v>
      </c>
      <c r="J237" s="20"/>
      <c r="K237" s="20"/>
    </row>
    <row r="238" spans="1:11" x14ac:dyDescent="0.25">
      <c r="A238" s="20">
        <f t="shared" si="276"/>
        <v>1</v>
      </c>
      <c r="B238" s="21" t="s">
        <v>1</v>
      </c>
      <c r="C238" s="21">
        <f t="shared" si="295"/>
        <v>2</v>
      </c>
      <c r="D238" s="21" t="s">
        <v>199</v>
      </c>
      <c r="E238" s="21">
        <f t="shared" si="296"/>
        <v>4</v>
      </c>
      <c r="F238" s="8" t="s">
        <v>244</v>
      </c>
      <c r="G238" s="21">
        <f t="shared" si="297"/>
        <v>49</v>
      </c>
      <c r="H238" s="22" t="s">
        <v>245</v>
      </c>
      <c r="I238" s="8" t="s">
        <v>246</v>
      </c>
      <c r="J238" s="20"/>
      <c r="K238" s="20"/>
    </row>
    <row r="239" spans="1:11" x14ac:dyDescent="0.25">
      <c r="A239" s="20">
        <f t="shared" si="276"/>
        <v>1</v>
      </c>
      <c r="B239" s="21" t="s">
        <v>1</v>
      </c>
      <c r="C239" s="21">
        <f t="shared" si="295"/>
        <v>2</v>
      </c>
      <c r="D239" s="21" t="s">
        <v>199</v>
      </c>
      <c r="E239" s="21">
        <f t="shared" si="296"/>
        <v>4</v>
      </c>
      <c r="F239" s="8" t="s">
        <v>244</v>
      </c>
      <c r="G239" s="21">
        <f t="shared" si="297"/>
        <v>49</v>
      </c>
      <c r="H239" s="22" t="s">
        <v>245</v>
      </c>
      <c r="I239" s="8" t="s">
        <v>247</v>
      </c>
      <c r="J239" s="20"/>
      <c r="K239" s="20"/>
    </row>
    <row r="240" spans="1:11" x14ac:dyDescent="0.25">
      <c r="A240" s="20">
        <f t="shared" si="276"/>
        <v>1</v>
      </c>
      <c r="B240" s="21" t="s">
        <v>1</v>
      </c>
      <c r="C240" s="21">
        <f t="shared" si="295"/>
        <v>2</v>
      </c>
      <c r="D240" s="21" t="s">
        <v>199</v>
      </c>
      <c r="E240" s="21">
        <f t="shared" si="296"/>
        <v>4</v>
      </c>
      <c r="F240" s="8" t="s">
        <v>244</v>
      </c>
      <c r="G240" s="21">
        <f t="shared" si="297"/>
        <v>49</v>
      </c>
      <c r="H240" s="22" t="s">
        <v>245</v>
      </c>
      <c r="I240" s="8" t="s">
        <v>248</v>
      </c>
      <c r="J240" s="20"/>
      <c r="K240" s="20"/>
    </row>
    <row r="241" spans="1:11" x14ac:dyDescent="0.25">
      <c r="A241" s="20">
        <f t="shared" si="276"/>
        <v>1</v>
      </c>
      <c r="B241" s="21" t="s">
        <v>1</v>
      </c>
      <c r="C241" s="21">
        <f t="shared" si="295"/>
        <v>2</v>
      </c>
      <c r="D241" s="21" t="s">
        <v>199</v>
      </c>
      <c r="E241" s="21">
        <f t="shared" si="296"/>
        <v>4</v>
      </c>
      <c r="F241" s="8" t="s">
        <v>244</v>
      </c>
      <c r="G241" s="21">
        <f t="shared" si="297"/>
        <v>49</v>
      </c>
      <c r="H241" s="22" t="s">
        <v>245</v>
      </c>
      <c r="I241" s="8" t="s">
        <v>249</v>
      </c>
      <c r="J241" s="20"/>
      <c r="K241" s="20"/>
    </row>
    <row r="242" spans="1:11" x14ac:dyDescent="0.25">
      <c r="A242" s="20">
        <f t="shared" si="276"/>
        <v>1</v>
      </c>
      <c r="B242" s="21" t="s">
        <v>1</v>
      </c>
      <c r="C242" s="21">
        <f t="shared" si="295"/>
        <v>2</v>
      </c>
      <c r="D242" s="21" t="s">
        <v>199</v>
      </c>
      <c r="E242" s="21">
        <f t="shared" si="296"/>
        <v>4</v>
      </c>
      <c r="F242" s="8" t="s">
        <v>244</v>
      </c>
      <c r="G242" s="21">
        <f t="shared" si="297"/>
        <v>49</v>
      </c>
      <c r="H242" s="22" t="s">
        <v>245</v>
      </c>
      <c r="I242" s="8" t="s">
        <v>250</v>
      </c>
      <c r="J242" s="20"/>
      <c r="K242" s="20"/>
    </row>
    <row r="243" spans="1:11" x14ac:dyDescent="0.25">
      <c r="A243" s="20">
        <f t="shared" si="276"/>
        <v>1</v>
      </c>
      <c r="B243" s="21" t="s">
        <v>1</v>
      </c>
      <c r="C243" s="21">
        <f t="shared" si="295"/>
        <v>2</v>
      </c>
      <c r="D243" s="21" t="s">
        <v>199</v>
      </c>
      <c r="E243" s="21">
        <f t="shared" si="296"/>
        <v>4</v>
      </c>
      <c r="F243" s="8" t="s">
        <v>244</v>
      </c>
      <c r="G243" s="21">
        <f t="shared" si="297"/>
        <v>49</v>
      </c>
      <c r="H243" s="22" t="s">
        <v>245</v>
      </c>
      <c r="I243" s="8" t="s">
        <v>251</v>
      </c>
      <c r="J243" s="20"/>
      <c r="K243" s="20"/>
    </row>
    <row r="244" spans="1:11" x14ac:dyDescent="0.25">
      <c r="A244" s="20">
        <f t="shared" si="276"/>
        <v>1</v>
      </c>
      <c r="B244" s="21" t="s">
        <v>1</v>
      </c>
      <c r="C244" s="21">
        <f t="shared" si="295"/>
        <v>2</v>
      </c>
      <c r="D244" s="21" t="s">
        <v>199</v>
      </c>
      <c r="E244" s="21">
        <f t="shared" si="296"/>
        <v>4</v>
      </c>
      <c r="F244" s="8" t="s">
        <v>244</v>
      </c>
      <c r="G244" s="21">
        <f t="shared" si="297"/>
        <v>49</v>
      </c>
      <c r="H244" s="22" t="s">
        <v>245</v>
      </c>
      <c r="I244" s="8" t="s">
        <v>252</v>
      </c>
      <c r="J244" s="20"/>
      <c r="K244" s="20"/>
    </row>
    <row r="245" spans="1:11" x14ac:dyDescent="0.25">
      <c r="A245" s="20">
        <f t="shared" si="276"/>
        <v>1</v>
      </c>
      <c r="B245" s="21" t="s">
        <v>1</v>
      </c>
      <c r="C245" s="21">
        <f t="shared" si="295"/>
        <v>2</v>
      </c>
      <c r="D245" s="21" t="s">
        <v>199</v>
      </c>
      <c r="E245" s="21">
        <f t="shared" si="296"/>
        <v>4</v>
      </c>
      <c r="F245" s="8" t="s">
        <v>244</v>
      </c>
      <c r="G245" s="21">
        <f t="shared" si="297"/>
        <v>49</v>
      </c>
      <c r="H245" s="22" t="s">
        <v>245</v>
      </c>
      <c r="I245" s="8" t="s">
        <v>253</v>
      </c>
      <c r="J245" s="20"/>
      <c r="K245" s="20"/>
    </row>
    <row r="246" spans="1:11" x14ac:dyDescent="0.25">
      <c r="A246" s="20">
        <f t="shared" si="276"/>
        <v>1</v>
      </c>
      <c r="B246" s="21" t="s">
        <v>1</v>
      </c>
      <c r="C246" s="21">
        <f t="shared" si="295"/>
        <v>2</v>
      </c>
      <c r="D246" s="21" t="s">
        <v>199</v>
      </c>
      <c r="E246" s="21">
        <f t="shared" si="296"/>
        <v>4</v>
      </c>
      <c r="F246" s="8" t="s">
        <v>244</v>
      </c>
      <c r="G246" s="21">
        <f t="shared" si="297"/>
        <v>49</v>
      </c>
      <c r="H246" s="22" t="s">
        <v>245</v>
      </c>
      <c r="I246" s="8" t="s">
        <v>254</v>
      </c>
      <c r="J246" s="20"/>
      <c r="K246" s="20"/>
    </row>
    <row r="247" spans="1:11" x14ac:dyDescent="0.25">
      <c r="A247" s="20">
        <f t="shared" si="276"/>
        <v>0</v>
      </c>
      <c r="B247" s="21" t="s">
        <v>1</v>
      </c>
      <c r="C247" s="21">
        <f t="shared" si="295"/>
        <v>2</v>
      </c>
      <c r="D247" s="21" t="s">
        <v>199</v>
      </c>
      <c r="E247" s="21">
        <f t="shared" si="296"/>
        <v>4</v>
      </c>
      <c r="F247" s="8" t="s">
        <v>255</v>
      </c>
      <c r="G247" s="21">
        <f t="shared" si="297"/>
        <v>51</v>
      </c>
      <c r="H247" s="22"/>
      <c r="I247" s="8"/>
      <c r="J247" s="20"/>
      <c r="K247" s="20"/>
    </row>
    <row r="248" spans="1:11" x14ac:dyDescent="0.25">
      <c r="A248" s="20">
        <f t="shared" si="276"/>
        <v>1</v>
      </c>
      <c r="B248" s="21" t="s">
        <v>1</v>
      </c>
      <c r="C248" s="21">
        <f t="shared" ref="C248" si="313">VLOOKUP(B248, Categories, 2, FALSE)</f>
        <v>2</v>
      </c>
      <c r="D248" s="21" t="s">
        <v>199</v>
      </c>
      <c r="E248" s="21">
        <f t="shared" ref="E248" si="314">VLOOKUP(D248,Subcategories, 2, FALSE)</f>
        <v>4</v>
      </c>
      <c r="F248" s="8" t="s">
        <v>257</v>
      </c>
      <c r="G248" s="21">
        <f t="shared" ref="G248" si="315">VLOOKUP(F248,Topics, 2, FALSE)</f>
        <v>52</v>
      </c>
      <c r="H248" s="22"/>
      <c r="I248" s="8"/>
      <c r="J248" s="20"/>
      <c r="K248" s="20"/>
    </row>
    <row r="249" spans="1:11" x14ac:dyDescent="0.25">
      <c r="A249" s="20">
        <f t="shared" si="276"/>
        <v>0</v>
      </c>
      <c r="B249" s="21" t="s">
        <v>1</v>
      </c>
      <c r="C249" s="21">
        <f t="shared" ref="C249" si="316">VLOOKUP(B249, Categories, 2, FALSE)</f>
        <v>2</v>
      </c>
      <c r="D249" s="21" t="s">
        <v>199</v>
      </c>
      <c r="E249" s="21">
        <f t="shared" ref="E249" si="317">VLOOKUP(D249,Subcategories, 2, FALSE)</f>
        <v>4</v>
      </c>
      <c r="F249" s="8" t="s">
        <v>355</v>
      </c>
      <c r="G249" s="21">
        <f t="shared" ref="G249" si="318">VLOOKUP(F249,Topics, 2, FALSE)</f>
        <v>53</v>
      </c>
      <c r="H249" s="22"/>
      <c r="I249" s="8"/>
      <c r="J249" s="20"/>
      <c r="K249" s="20"/>
    </row>
    <row r="250" spans="1:11" x14ac:dyDescent="0.25">
      <c r="A250" s="20">
        <f t="shared" si="276"/>
        <v>1</v>
      </c>
      <c r="B250" s="21" t="s">
        <v>1</v>
      </c>
      <c r="C250" s="21">
        <f t="shared" ref="C250" si="319">VLOOKUP(B250, Categories, 2, FALSE)</f>
        <v>2</v>
      </c>
      <c r="D250" s="21" t="s">
        <v>199</v>
      </c>
      <c r="E250" s="21">
        <f t="shared" ref="E250" si="320">VLOOKUP(D250,Subcategories, 2, FALSE)</f>
        <v>4</v>
      </c>
      <c r="F250" s="8" t="s">
        <v>261</v>
      </c>
      <c r="G250" s="21">
        <f t="shared" ref="G250" si="321">VLOOKUP(F250,Topics, 2, FALSE)</f>
        <v>54</v>
      </c>
      <c r="H250" s="22"/>
      <c r="I250" s="8" t="s">
        <v>262</v>
      </c>
      <c r="J250" s="20"/>
      <c r="K250" s="20"/>
    </row>
    <row r="251" spans="1:11" x14ac:dyDescent="0.25">
      <c r="A251" s="20">
        <f t="shared" si="276"/>
        <v>1</v>
      </c>
      <c r="B251" s="21" t="s">
        <v>1</v>
      </c>
      <c r="C251" s="21">
        <f t="shared" si="295"/>
        <v>2</v>
      </c>
      <c r="D251" s="21" t="s">
        <v>199</v>
      </c>
      <c r="E251" s="21">
        <f t="shared" si="296"/>
        <v>4</v>
      </c>
      <c r="F251" s="8" t="s">
        <v>261</v>
      </c>
      <c r="G251" s="21">
        <f t="shared" si="297"/>
        <v>54</v>
      </c>
      <c r="H251" s="22"/>
      <c r="I251" s="8" t="s">
        <v>263</v>
      </c>
      <c r="J251" s="20"/>
      <c r="K251" s="20"/>
    </row>
    <row r="252" spans="1:11" x14ac:dyDescent="0.25">
      <c r="A252" s="20">
        <f t="shared" si="276"/>
        <v>1</v>
      </c>
      <c r="B252" s="21" t="s">
        <v>1</v>
      </c>
      <c r="C252" s="21">
        <f t="shared" si="295"/>
        <v>2</v>
      </c>
      <c r="D252" s="21" t="s">
        <v>199</v>
      </c>
      <c r="E252" s="21">
        <f t="shared" si="296"/>
        <v>4</v>
      </c>
      <c r="F252" s="8" t="s">
        <v>261</v>
      </c>
      <c r="G252" s="21">
        <f t="shared" si="297"/>
        <v>54</v>
      </c>
      <c r="H252" s="22"/>
      <c r="I252" s="8" t="s">
        <v>264</v>
      </c>
      <c r="J252" s="20"/>
      <c r="K252" s="20"/>
    </row>
    <row r="253" spans="1:11" x14ac:dyDescent="0.25">
      <c r="A253" s="20">
        <f t="shared" si="276"/>
        <v>1</v>
      </c>
      <c r="B253" s="21" t="s">
        <v>1</v>
      </c>
      <c r="C253" s="21">
        <f t="shared" si="295"/>
        <v>2</v>
      </c>
      <c r="D253" s="21" t="s">
        <v>199</v>
      </c>
      <c r="E253" s="21">
        <f t="shared" si="296"/>
        <v>4</v>
      </c>
      <c r="F253" s="8" t="s">
        <v>261</v>
      </c>
      <c r="G253" s="21">
        <f t="shared" si="297"/>
        <v>54</v>
      </c>
      <c r="H253" s="22"/>
      <c r="I253" s="8" t="s">
        <v>265</v>
      </c>
      <c r="J253" s="20"/>
      <c r="K253" s="20"/>
    </row>
    <row r="254" spans="1:11" x14ac:dyDescent="0.25">
      <c r="A254" s="20">
        <f t="shared" si="276"/>
        <v>0</v>
      </c>
      <c r="B254" s="21" t="s">
        <v>1</v>
      </c>
      <c r="C254" s="21">
        <f t="shared" ref="C254:C260" si="322">VLOOKUP(B254, Categories, 2, FALSE)</f>
        <v>2</v>
      </c>
      <c r="D254" s="21" t="s">
        <v>270</v>
      </c>
      <c r="E254" s="21">
        <f t="shared" ref="E254:E260" si="323">VLOOKUP(D254,Subcategories, 2, FALSE)</f>
        <v>5</v>
      </c>
      <c r="F254" s="8" t="s">
        <v>271</v>
      </c>
      <c r="G254" s="21">
        <f t="shared" ref="G254:G260" si="324">VLOOKUP(F254,Topics, 2, FALSE)</f>
        <v>55</v>
      </c>
      <c r="H254" s="20" t="s">
        <v>272</v>
      </c>
      <c r="I254" s="8"/>
      <c r="J254" s="20"/>
      <c r="K254" s="20"/>
    </row>
    <row r="255" spans="1:11" x14ac:dyDescent="0.25">
      <c r="A255" s="20">
        <f t="shared" si="276"/>
        <v>1</v>
      </c>
      <c r="B255" s="21" t="s">
        <v>1</v>
      </c>
      <c r="C255" s="21">
        <f t="shared" si="322"/>
        <v>2</v>
      </c>
      <c r="D255" s="21" t="s">
        <v>270</v>
      </c>
      <c r="E255" s="21">
        <f t="shared" si="323"/>
        <v>5</v>
      </c>
      <c r="F255" s="8" t="s">
        <v>273</v>
      </c>
      <c r="G255" s="21">
        <f t="shared" si="324"/>
        <v>56</v>
      </c>
      <c r="H255" s="17" t="s">
        <v>274</v>
      </c>
      <c r="I255" s="8"/>
      <c r="J255" s="20"/>
      <c r="K255" s="20"/>
    </row>
    <row r="256" spans="1:11" x14ac:dyDescent="0.25">
      <c r="A256" s="20">
        <f t="shared" si="276"/>
        <v>0</v>
      </c>
      <c r="B256" s="21" t="s">
        <v>1</v>
      </c>
      <c r="C256" s="21">
        <f t="shared" si="322"/>
        <v>2</v>
      </c>
      <c r="D256" s="21" t="s">
        <v>270</v>
      </c>
      <c r="E256" s="21">
        <f t="shared" si="323"/>
        <v>5</v>
      </c>
      <c r="F256" s="8" t="s">
        <v>275</v>
      </c>
      <c r="G256" s="21">
        <f t="shared" si="324"/>
        <v>57</v>
      </c>
      <c r="H256" s="22" t="s">
        <v>276</v>
      </c>
      <c r="I256" s="20"/>
      <c r="J256" s="20"/>
      <c r="K256" s="20"/>
    </row>
    <row r="257" spans="1:11" x14ac:dyDescent="0.25">
      <c r="A257" s="20">
        <f t="shared" si="276"/>
        <v>1</v>
      </c>
      <c r="B257" s="21" t="s">
        <v>1</v>
      </c>
      <c r="C257" s="21">
        <f t="shared" si="322"/>
        <v>2</v>
      </c>
      <c r="D257" s="21" t="s">
        <v>270</v>
      </c>
      <c r="E257" s="21">
        <f t="shared" si="323"/>
        <v>5</v>
      </c>
      <c r="F257" s="8" t="s">
        <v>277</v>
      </c>
      <c r="G257" s="21">
        <f t="shared" si="324"/>
        <v>58</v>
      </c>
      <c r="H257" s="17" t="s">
        <v>278</v>
      </c>
      <c r="I257" s="8"/>
      <c r="J257" s="20"/>
      <c r="K257" s="20"/>
    </row>
    <row r="258" spans="1:11" x14ac:dyDescent="0.25">
      <c r="A258" s="20">
        <f t="shared" ref="A258:A321" si="325">IF(F258&lt;&gt;F257,IF(A257=0,1,0),A257)</f>
        <v>0</v>
      </c>
      <c r="B258" s="21" t="s">
        <v>1</v>
      </c>
      <c r="C258" s="21">
        <f t="shared" si="322"/>
        <v>2</v>
      </c>
      <c r="D258" s="21" t="s">
        <v>270</v>
      </c>
      <c r="E258" s="21">
        <f t="shared" si="323"/>
        <v>5</v>
      </c>
      <c r="F258" s="8" t="s">
        <v>279</v>
      </c>
      <c r="G258" s="21">
        <f t="shared" si="324"/>
        <v>59</v>
      </c>
      <c r="H258" s="20" t="s">
        <v>280</v>
      </c>
      <c r="I258" s="20"/>
      <c r="J258" s="20"/>
      <c r="K258" s="20"/>
    </row>
    <row r="259" spans="1:11" x14ac:dyDescent="0.25">
      <c r="A259" s="20">
        <f t="shared" si="325"/>
        <v>1</v>
      </c>
      <c r="B259" s="21" t="s">
        <v>1</v>
      </c>
      <c r="C259" s="21">
        <f t="shared" si="322"/>
        <v>2</v>
      </c>
      <c r="D259" s="21" t="s">
        <v>270</v>
      </c>
      <c r="E259" s="21">
        <f t="shared" si="323"/>
        <v>5</v>
      </c>
      <c r="F259" s="8" t="s">
        <v>281</v>
      </c>
      <c r="G259" s="21">
        <f t="shared" si="324"/>
        <v>60</v>
      </c>
      <c r="H259" s="17" t="s">
        <v>282</v>
      </c>
      <c r="I259" s="8"/>
      <c r="J259" s="20"/>
      <c r="K259" s="20"/>
    </row>
    <row r="260" spans="1:11" x14ac:dyDescent="0.25">
      <c r="A260" s="20">
        <f t="shared" si="325"/>
        <v>0</v>
      </c>
      <c r="B260" s="21" t="s">
        <v>1</v>
      </c>
      <c r="C260" s="21">
        <f t="shared" si="322"/>
        <v>2</v>
      </c>
      <c r="D260" s="21" t="s">
        <v>270</v>
      </c>
      <c r="E260" s="21">
        <f t="shared" si="323"/>
        <v>5</v>
      </c>
      <c r="F260" s="8" t="s">
        <v>283</v>
      </c>
      <c r="G260" s="21">
        <f t="shared" si="324"/>
        <v>61</v>
      </c>
      <c r="H260" s="20" t="s">
        <v>284</v>
      </c>
      <c r="I260" s="20"/>
      <c r="J260" s="20"/>
      <c r="K260" s="20"/>
    </row>
    <row r="261" spans="1:11" x14ac:dyDescent="0.25">
      <c r="A261" s="20">
        <f t="shared" si="325"/>
        <v>1</v>
      </c>
      <c r="B261" s="20"/>
      <c r="C261" s="20"/>
      <c r="D261" s="20"/>
      <c r="E261" s="20"/>
      <c r="F261" s="20"/>
      <c r="G261" s="20"/>
      <c r="H261" s="20"/>
      <c r="I261" s="20"/>
      <c r="J261" s="20"/>
      <c r="K261" s="20"/>
    </row>
    <row r="262" spans="1:11" x14ac:dyDescent="0.25">
      <c r="A262" s="20">
        <f t="shared" si="325"/>
        <v>1</v>
      </c>
      <c r="B262" s="20"/>
      <c r="C262" s="20"/>
      <c r="D262" s="20"/>
      <c r="E262" s="20"/>
      <c r="F262" s="20"/>
      <c r="G262" s="20"/>
      <c r="H262" s="20"/>
      <c r="I262" s="20"/>
      <c r="J262" s="20"/>
      <c r="K262" s="20"/>
    </row>
    <row r="263" spans="1:11" x14ac:dyDescent="0.25">
      <c r="A263" s="20">
        <f t="shared" si="325"/>
        <v>1</v>
      </c>
      <c r="B263" s="20"/>
      <c r="C263" s="20"/>
      <c r="D263" s="20"/>
      <c r="E263" s="20"/>
      <c r="F263" s="20"/>
      <c r="G263" s="20"/>
      <c r="H263" s="20"/>
      <c r="I263" s="20"/>
      <c r="J263" s="20"/>
      <c r="K263" s="20"/>
    </row>
    <row r="264" spans="1:11" x14ac:dyDescent="0.25">
      <c r="A264" s="20">
        <f t="shared" si="325"/>
        <v>1</v>
      </c>
      <c r="B264" s="20"/>
      <c r="C264" s="20"/>
      <c r="D264" s="20"/>
      <c r="E264" s="20"/>
      <c r="F264" s="20"/>
      <c r="G264" s="20"/>
      <c r="H264" s="20"/>
      <c r="I264" s="20"/>
      <c r="J264" s="20"/>
      <c r="K264" s="20"/>
    </row>
    <row r="265" spans="1:11" x14ac:dyDescent="0.25">
      <c r="A265" s="20">
        <f t="shared" si="325"/>
        <v>1</v>
      </c>
      <c r="B265" s="20"/>
      <c r="C265" s="20"/>
      <c r="D265" s="20"/>
      <c r="E265" s="20"/>
      <c r="F265" s="20"/>
      <c r="G265" s="20"/>
      <c r="H265" s="20"/>
      <c r="I265" s="20"/>
      <c r="J265" s="20"/>
      <c r="K265" s="20"/>
    </row>
    <row r="266" spans="1:11" x14ac:dyDescent="0.25">
      <c r="A266" s="20">
        <f t="shared" si="325"/>
        <v>1</v>
      </c>
      <c r="B266" s="20"/>
      <c r="C266" s="20"/>
      <c r="D266" s="20"/>
      <c r="E266" s="20"/>
      <c r="F266" s="20"/>
      <c r="G266" s="20"/>
      <c r="H266" s="20"/>
      <c r="I266" s="20"/>
      <c r="J266" s="20"/>
      <c r="K266" s="20"/>
    </row>
    <row r="267" spans="1:11" x14ac:dyDescent="0.25">
      <c r="A267" s="20">
        <f t="shared" si="325"/>
        <v>1</v>
      </c>
      <c r="B267" s="20"/>
      <c r="C267" s="20"/>
      <c r="D267" s="20"/>
      <c r="E267" s="20"/>
      <c r="F267" s="20"/>
      <c r="G267" s="20"/>
      <c r="H267" s="20"/>
      <c r="I267" s="20"/>
      <c r="J267" s="20"/>
      <c r="K267" s="20"/>
    </row>
    <row r="268" spans="1:11" x14ac:dyDescent="0.25">
      <c r="A268" s="20">
        <f t="shared" si="325"/>
        <v>1</v>
      </c>
      <c r="B268" s="20"/>
      <c r="C268" s="20"/>
      <c r="D268" s="20"/>
      <c r="E268" s="20"/>
      <c r="F268" s="20"/>
      <c r="G268" s="20"/>
      <c r="H268" s="20"/>
      <c r="I268" s="20"/>
      <c r="J268" s="20"/>
      <c r="K268" s="20"/>
    </row>
    <row r="269" spans="1:11" x14ac:dyDescent="0.25">
      <c r="A269" s="20">
        <f t="shared" si="325"/>
        <v>1</v>
      </c>
      <c r="B269" s="20"/>
      <c r="C269" s="20"/>
      <c r="D269" s="20"/>
      <c r="E269" s="20"/>
      <c r="F269" s="20"/>
      <c r="G269" s="20"/>
      <c r="H269" s="20"/>
      <c r="I269" s="20"/>
      <c r="J269" s="20"/>
      <c r="K269" s="20"/>
    </row>
    <row r="270" spans="1:11" x14ac:dyDescent="0.25">
      <c r="A270" s="20">
        <f t="shared" si="325"/>
        <v>1</v>
      </c>
      <c r="B270" s="20"/>
      <c r="C270" s="20"/>
      <c r="D270" s="20"/>
      <c r="E270" s="20"/>
      <c r="F270" s="20"/>
      <c r="G270" s="20"/>
      <c r="H270" s="20"/>
      <c r="I270" s="20"/>
      <c r="J270" s="20"/>
      <c r="K270" s="20"/>
    </row>
    <row r="271" spans="1:11" x14ac:dyDescent="0.25">
      <c r="A271" s="20">
        <f t="shared" si="325"/>
        <v>1</v>
      </c>
      <c r="B271" s="20"/>
      <c r="C271" s="20"/>
      <c r="D271" s="20"/>
      <c r="E271" s="20"/>
      <c r="F271" s="20"/>
      <c r="G271" s="20"/>
      <c r="H271" s="20"/>
      <c r="I271" s="20"/>
      <c r="J271" s="20"/>
      <c r="K271" s="20"/>
    </row>
    <row r="272" spans="1:11" x14ac:dyDescent="0.25">
      <c r="A272" s="20">
        <f t="shared" si="325"/>
        <v>1</v>
      </c>
      <c r="B272" s="20"/>
      <c r="C272" s="20"/>
      <c r="D272" s="20"/>
      <c r="E272" s="20"/>
      <c r="F272" s="20"/>
      <c r="G272" s="20"/>
      <c r="H272" s="20"/>
      <c r="I272" s="20"/>
      <c r="J272" s="20"/>
      <c r="K272" s="20"/>
    </row>
    <row r="273" spans="1:11" x14ac:dyDescent="0.25">
      <c r="A273" s="20">
        <f t="shared" si="325"/>
        <v>1</v>
      </c>
      <c r="B273" s="20"/>
      <c r="C273" s="20"/>
      <c r="D273" s="20"/>
      <c r="E273" s="20"/>
      <c r="F273" s="20"/>
      <c r="G273" s="20"/>
      <c r="H273" s="20"/>
      <c r="I273" s="20"/>
      <c r="J273" s="20"/>
      <c r="K273" s="20"/>
    </row>
    <row r="274" spans="1:11" x14ac:dyDescent="0.25">
      <c r="A274" s="20">
        <f t="shared" si="325"/>
        <v>1</v>
      </c>
      <c r="B274" s="20"/>
      <c r="C274" s="20"/>
      <c r="D274" s="20"/>
      <c r="E274" s="20"/>
      <c r="F274" s="20"/>
      <c r="G274" s="20"/>
      <c r="H274" s="20"/>
      <c r="I274" s="20"/>
      <c r="J274" s="20"/>
      <c r="K274" s="20"/>
    </row>
    <row r="275" spans="1:11" x14ac:dyDescent="0.25">
      <c r="A275" s="20">
        <f t="shared" si="325"/>
        <v>1</v>
      </c>
      <c r="B275" s="20"/>
      <c r="C275" s="20"/>
      <c r="D275" s="20"/>
      <c r="E275" s="20"/>
      <c r="F275" s="20"/>
      <c r="G275" s="20"/>
      <c r="H275" s="20"/>
      <c r="I275" s="20"/>
      <c r="J275" s="20"/>
      <c r="K275" s="20"/>
    </row>
    <row r="276" spans="1:11" x14ac:dyDescent="0.25">
      <c r="A276" s="20">
        <f t="shared" si="325"/>
        <v>1</v>
      </c>
      <c r="B276" s="20"/>
      <c r="C276" s="20"/>
      <c r="D276" s="20"/>
      <c r="E276" s="20"/>
      <c r="F276" s="20"/>
      <c r="G276" s="20"/>
      <c r="H276" s="20"/>
      <c r="I276" s="20"/>
      <c r="J276" s="20"/>
      <c r="K276" s="20"/>
    </row>
    <row r="277" spans="1:11" x14ac:dyDescent="0.25">
      <c r="A277" s="20">
        <f t="shared" si="325"/>
        <v>1</v>
      </c>
      <c r="B277" s="20"/>
      <c r="C277" s="20"/>
      <c r="D277" s="20"/>
      <c r="E277" s="20"/>
      <c r="F277" s="20"/>
      <c r="G277" s="20"/>
      <c r="H277" s="20"/>
      <c r="I277" s="20"/>
      <c r="J277" s="20"/>
      <c r="K277" s="20"/>
    </row>
    <row r="278" spans="1:11" x14ac:dyDescent="0.25">
      <c r="A278" s="20">
        <f t="shared" si="325"/>
        <v>1</v>
      </c>
      <c r="B278" s="20"/>
      <c r="C278" s="20"/>
      <c r="D278" s="20"/>
      <c r="E278" s="20"/>
      <c r="F278" s="20"/>
      <c r="G278" s="20"/>
      <c r="H278" s="20"/>
      <c r="I278" s="20"/>
      <c r="J278" s="20"/>
      <c r="K278" s="20"/>
    </row>
    <row r="279" spans="1:11" x14ac:dyDescent="0.25">
      <c r="A279" s="20">
        <f t="shared" si="325"/>
        <v>1</v>
      </c>
      <c r="B279" s="20"/>
      <c r="C279" s="20"/>
      <c r="D279" s="20"/>
      <c r="E279" s="20"/>
      <c r="F279" s="20"/>
      <c r="G279" s="20"/>
      <c r="H279" s="20"/>
      <c r="I279" s="20"/>
      <c r="J279" s="20"/>
      <c r="K279" s="20"/>
    </row>
    <row r="280" spans="1:11" x14ac:dyDescent="0.25">
      <c r="A280" s="20">
        <f t="shared" si="325"/>
        <v>1</v>
      </c>
      <c r="B280" s="20"/>
      <c r="C280" s="20"/>
      <c r="D280" s="20"/>
      <c r="E280" s="20"/>
      <c r="F280" s="20"/>
      <c r="G280" s="20"/>
      <c r="H280" s="20"/>
      <c r="I280" s="20"/>
      <c r="J280" s="20"/>
      <c r="K280" s="20"/>
    </row>
    <row r="281" spans="1:11" x14ac:dyDescent="0.25">
      <c r="A281" s="20">
        <f t="shared" si="325"/>
        <v>1</v>
      </c>
      <c r="B281" s="20"/>
      <c r="C281" s="20"/>
      <c r="D281" s="20"/>
      <c r="E281" s="20"/>
      <c r="F281" s="20"/>
      <c r="G281" s="20"/>
      <c r="H281" s="20"/>
      <c r="I281" s="20"/>
      <c r="J281" s="20"/>
      <c r="K281" s="20"/>
    </row>
    <row r="282" spans="1:11" x14ac:dyDescent="0.25">
      <c r="A282" s="20">
        <f t="shared" si="325"/>
        <v>1</v>
      </c>
      <c r="B282" s="20"/>
      <c r="C282" s="20"/>
      <c r="D282" s="20"/>
      <c r="E282" s="20"/>
      <c r="F282" s="20"/>
      <c r="G282" s="20"/>
      <c r="H282" s="20"/>
      <c r="I282" s="20"/>
      <c r="J282" s="20"/>
      <c r="K282" s="20"/>
    </row>
    <row r="283" spans="1:11" x14ac:dyDescent="0.25">
      <c r="A283" s="20">
        <f t="shared" si="325"/>
        <v>1</v>
      </c>
      <c r="B283" s="20"/>
      <c r="C283" s="20"/>
      <c r="D283" s="20"/>
      <c r="E283" s="20"/>
      <c r="F283" s="20"/>
      <c r="G283" s="20"/>
      <c r="H283" s="20"/>
      <c r="I283" s="20"/>
      <c r="J283" s="20"/>
      <c r="K283" s="20"/>
    </row>
    <row r="284" spans="1:11" x14ac:dyDescent="0.25">
      <c r="A284" s="20">
        <f t="shared" si="325"/>
        <v>1</v>
      </c>
      <c r="B284" s="20"/>
      <c r="C284" s="20"/>
      <c r="D284" s="20"/>
      <c r="E284" s="20"/>
      <c r="F284" s="20"/>
      <c r="G284" s="20"/>
      <c r="H284" s="20"/>
      <c r="I284" s="20"/>
      <c r="J284" s="20"/>
      <c r="K284" s="20"/>
    </row>
    <row r="285" spans="1:11" x14ac:dyDescent="0.25">
      <c r="A285" s="20">
        <f t="shared" si="325"/>
        <v>1</v>
      </c>
      <c r="B285" s="20"/>
      <c r="C285" s="20"/>
      <c r="D285" s="20"/>
      <c r="E285" s="20"/>
      <c r="F285" s="20"/>
      <c r="G285" s="20"/>
      <c r="H285" s="20"/>
      <c r="I285" s="20"/>
      <c r="J285" s="20"/>
      <c r="K285" s="20"/>
    </row>
    <row r="286" spans="1:11" x14ac:dyDescent="0.25">
      <c r="A286" s="20">
        <f t="shared" si="325"/>
        <v>1</v>
      </c>
      <c r="B286" s="20"/>
      <c r="C286" s="20"/>
      <c r="D286" s="20"/>
      <c r="E286" s="20"/>
      <c r="F286" s="20"/>
      <c r="G286" s="20"/>
      <c r="H286" s="20"/>
      <c r="I286" s="20"/>
      <c r="J286" s="20"/>
      <c r="K286" s="20"/>
    </row>
    <row r="287" spans="1:11" x14ac:dyDescent="0.25">
      <c r="A287" s="20">
        <f t="shared" si="325"/>
        <v>1</v>
      </c>
      <c r="B287" s="20"/>
      <c r="C287" s="20"/>
      <c r="D287" s="20"/>
      <c r="E287" s="20"/>
      <c r="F287" s="20"/>
      <c r="G287" s="20"/>
      <c r="H287" s="20"/>
      <c r="I287" s="20"/>
      <c r="J287" s="20"/>
      <c r="K287" s="20"/>
    </row>
    <row r="288" spans="1:11" x14ac:dyDescent="0.25">
      <c r="A288" s="20">
        <f t="shared" si="325"/>
        <v>1</v>
      </c>
      <c r="B288" s="20"/>
      <c r="C288" s="20"/>
      <c r="D288" s="20"/>
      <c r="E288" s="20"/>
      <c r="F288" s="20"/>
      <c r="G288" s="20"/>
      <c r="H288" s="20"/>
      <c r="I288" s="20"/>
      <c r="J288" s="20"/>
      <c r="K288" s="20"/>
    </row>
    <row r="289" spans="1:11" x14ac:dyDescent="0.25">
      <c r="A289" s="20">
        <f t="shared" si="325"/>
        <v>1</v>
      </c>
      <c r="B289" s="20"/>
      <c r="C289" s="20"/>
      <c r="D289" s="20"/>
      <c r="E289" s="20"/>
      <c r="F289" s="20"/>
      <c r="G289" s="20"/>
      <c r="H289" s="20"/>
      <c r="I289" s="20"/>
      <c r="J289" s="20"/>
      <c r="K289" s="20"/>
    </row>
    <row r="290" spans="1:11" x14ac:dyDescent="0.25">
      <c r="A290" s="20">
        <f t="shared" si="325"/>
        <v>1</v>
      </c>
      <c r="B290" s="20"/>
      <c r="C290" s="20"/>
      <c r="D290" s="20"/>
      <c r="E290" s="20"/>
      <c r="F290" s="20"/>
      <c r="G290" s="20"/>
      <c r="H290" s="20"/>
      <c r="I290" s="20"/>
      <c r="J290" s="20"/>
      <c r="K290" s="20"/>
    </row>
    <row r="291" spans="1:11" x14ac:dyDescent="0.25">
      <c r="A291" s="20">
        <f t="shared" si="325"/>
        <v>1</v>
      </c>
      <c r="B291" s="20"/>
      <c r="C291" s="20"/>
      <c r="D291" s="20"/>
      <c r="E291" s="20"/>
      <c r="F291" s="20"/>
      <c r="G291" s="20"/>
      <c r="H291" s="20"/>
      <c r="I291" s="20"/>
      <c r="J291" s="20"/>
      <c r="K291" s="20"/>
    </row>
    <row r="292" spans="1:11" x14ac:dyDescent="0.25">
      <c r="A292" s="20">
        <f t="shared" si="325"/>
        <v>1</v>
      </c>
      <c r="B292" s="20"/>
      <c r="C292" s="20"/>
      <c r="D292" s="20"/>
      <c r="E292" s="20"/>
      <c r="F292" s="20"/>
      <c r="G292" s="20"/>
      <c r="H292" s="20"/>
      <c r="I292" s="20"/>
      <c r="J292" s="20"/>
      <c r="K292" s="20"/>
    </row>
    <row r="293" spans="1:11" x14ac:dyDescent="0.25">
      <c r="A293" s="20">
        <f t="shared" si="325"/>
        <v>1</v>
      </c>
      <c r="B293" s="20"/>
      <c r="C293" s="20"/>
      <c r="D293" s="20"/>
      <c r="E293" s="20"/>
      <c r="F293" s="20"/>
      <c r="G293" s="20"/>
      <c r="H293" s="20"/>
      <c r="I293" s="20"/>
      <c r="J293" s="20"/>
      <c r="K293" s="20"/>
    </row>
    <row r="294" spans="1:11" x14ac:dyDescent="0.25">
      <c r="A294" s="20">
        <f t="shared" si="325"/>
        <v>1</v>
      </c>
      <c r="B294" s="20"/>
      <c r="C294" s="20"/>
      <c r="D294" s="20"/>
      <c r="E294" s="20"/>
      <c r="F294" s="20"/>
      <c r="G294" s="20"/>
      <c r="H294" s="20"/>
      <c r="I294" s="20"/>
      <c r="J294" s="20"/>
      <c r="K294" s="20"/>
    </row>
    <row r="295" spans="1:11" x14ac:dyDescent="0.25">
      <c r="A295" s="20">
        <f t="shared" si="325"/>
        <v>1</v>
      </c>
      <c r="B295" s="20"/>
      <c r="C295" s="20"/>
      <c r="D295" s="20"/>
      <c r="E295" s="20"/>
      <c r="F295" s="20"/>
      <c r="G295" s="20"/>
      <c r="H295" s="20"/>
      <c r="I295" s="20"/>
      <c r="J295" s="20"/>
      <c r="K295" s="20"/>
    </row>
    <row r="296" spans="1:11" x14ac:dyDescent="0.25">
      <c r="A296" s="20">
        <f t="shared" si="325"/>
        <v>1</v>
      </c>
      <c r="B296" s="20"/>
      <c r="C296" s="20"/>
      <c r="D296" s="20"/>
      <c r="E296" s="20"/>
      <c r="F296" s="20"/>
      <c r="G296" s="20"/>
      <c r="H296" s="20"/>
      <c r="I296" s="20"/>
      <c r="J296" s="20"/>
      <c r="K296" s="20"/>
    </row>
    <row r="297" spans="1:11" x14ac:dyDescent="0.25">
      <c r="A297" s="20">
        <f t="shared" si="325"/>
        <v>1</v>
      </c>
      <c r="B297" s="20"/>
      <c r="C297" s="20"/>
      <c r="D297" s="20"/>
      <c r="E297" s="20"/>
      <c r="F297" s="20"/>
      <c r="G297" s="20"/>
      <c r="H297" s="20"/>
      <c r="I297" s="20"/>
      <c r="J297" s="20"/>
      <c r="K297" s="20"/>
    </row>
    <row r="298" spans="1:11" x14ac:dyDescent="0.25">
      <c r="A298" s="20">
        <f t="shared" si="325"/>
        <v>1</v>
      </c>
      <c r="B298" s="20"/>
      <c r="C298" s="20"/>
      <c r="D298" s="20"/>
      <c r="E298" s="20"/>
      <c r="F298" s="20"/>
      <c r="G298" s="20"/>
      <c r="H298" s="20"/>
      <c r="I298" s="20"/>
      <c r="J298" s="20"/>
      <c r="K298" s="20"/>
    </row>
    <row r="299" spans="1:11" x14ac:dyDescent="0.25">
      <c r="A299" s="20">
        <f t="shared" si="325"/>
        <v>1</v>
      </c>
      <c r="B299" s="20"/>
      <c r="C299" s="20"/>
      <c r="D299" s="20"/>
      <c r="E299" s="20"/>
      <c r="F299" s="20"/>
      <c r="G299" s="20"/>
      <c r="H299" s="20"/>
      <c r="I299" s="20"/>
      <c r="J299" s="20"/>
      <c r="K299" s="20"/>
    </row>
    <row r="300" spans="1:11" x14ac:dyDescent="0.25">
      <c r="A300" s="20">
        <f t="shared" si="325"/>
        <v>1</v>
      </c>
      <c r="B300" s="20"/>
      <c r="C300" s="20"/>
      <c r="D300" s="20"/>
      <c r="E300" s="20"/>
      <c r="F300" s="20"/>
      <c r="G300" s="20"/>
      <c r="H300" s="20"/>
      <c r="I300" s="20"/>
      <c r="J300" s="20"/>
      <c r="K300" s="20"/>
    </row>
    <row r="301" spans="1:11" x14ac:dyDescent="0.25">
      <c r="A301" s="20">
        <f t="shared" si="325"/>
        <v>1</v>
      </c>
      <c r="B301" s="20"/>
      <c r="C301" s="20"/>
      <c r="D301" s="20"/>
      <c r="E301" s="20"/>
      <c r="F301" s="20"/>
      <c r="G301" s="20"/>
      <c r="H301" s="20"/>
      <c r="I301" s="20"/>
      <c r="J301" s="20"/>
      <c r="K301" s="20"/>
    </row>
    <row r="302" spans="1:11" x14ac:dyDescent="0.25">
      <c r="A302" s="20">
        <f t="shared" si="325"/>
        <v>1</v>
      </c>
      <c r="B302" s="20"/>
      <c r="C302" s="20"/>
      <c r="D302" s="20"/>
      <c r="E302" s="20"/>
      <c r="F302" s="20"/>
      <c r="G302" s="20"/>
      <c r="H302" s="20"/>
      <c r="I302" s="20"/>
      <c r="J302" s="20"/>
      <c r="K302" s="20"/>
    </row>
    <row r="303" spans="1:11" x14ac:dyDescent="0.25">
      <c r="A303" s="20">
        <f t="shared" si="325"/>
        <v>1</v>
      </c>
      <c r="B303" s="20"/>
      <c r="C303" s="20"/>
      <c r="D303" s="20"/>
      <c r="E303" s="20"/>
      <c r="F303" s="20"/>
      <c r="G303" s="20"/>
      <c r="H303" s="20"/>
      <c r="I303" s="20"/>
      <c r="J303" s="20"/>
      <c r="K303" s="20"/>
    </row>
    <row r="304" spans="1:11" x14ac:dyDescent="0.25">
      <c r="A304" s="20">
        <f t="shared" si="325"/>
        <v>1</v>
      </c>
      <c r="B304" s="20"/>
      <c r="C304" s="20"/>
      <c r="D304" s="20"/>
      <c r="E304" s="20"/>
      <c r="F304" s="20"/>
      <c r="G304" s="20"/>
      <c r="H304" s="20"/>
      <c r="I304" s="20"/>
      <c r="J304" s="20"/>
      <c r="K304" s="20"/>
    </row>
    <row r="305" spans="1:11" x14ac:dyDescent="0.25">
      <c r="A305" s="20">
        <f t="shared" si="325"/>
        <v>1</v>
      </c>
      <c r="B305" s="20"/>
      <c r="C305" s="20"/>
      <c r="D305" s="20"/>
      <c r="E305" s="20"/>
      <c r="F305" s="20"/>
      <c r="G305" s="20"/>
      <c r="H305" s="20"/>
      <c r="I305" s="20"/>
      <c r="J305" s="20"/>
      <c r="K305" s="20"/>
    </row>
    <row r="306" spans="1:11" x14ac:dyDescent="0.25">
      <c r="A306" s="20">
        <f t="shared" si="325"/>
        <v>1</v>
      </c>
      <c r="B306" s="20"/>
      <c r="C306" s="20"/>
      <c r="D306" s="20"/>
      <c r="E306" s="20"/>
      <c r="F306" s="20"/>
      <c r="G306" s="20"/>
      <c r="H306" s="20"/>
      <c r="I306" s="20"/>
      <c r="J306" s="20"/>
      <c r="K306" s="20"/>
    </row>
    <row r="307" spans="1:11" x14ac:dyDescent="0.25">
      <c r="A307" s="20">
        <f t="shared" si="325"/>
        <v>1</v>
      </c>
      <c r="B307" s="20"/>
      <c r="C307" s="20"/>
      <c r="D307" s="20"/>
      <c r="E307" s="20"/>
      <c r="F307" s="20"/>
      <c r="G307" s="20"/>
      <c r="H307" s="20"/>
      <c r="I307" s="20"/>
      <c r="J307" s="20"/>
      <c r="K307" s="20"/>
    </row>
    <row r="308" spans="1:11" x14ac:dyDescent="0.25">
      <c r="A308" s="20">
        <f t="shared" si="325"/>
        <v>1</v>
      </c>
      <c r="B308" s="20"/>
      <c r="C308" s="20"/>
      <c r="D308" s="20"/>
      <c r="E308" s="20"/>
      <c r="F308" s="20"/>
      <c r="G308" s="20"/>
      <c r="H308" s="20"/>
      <c r="I308" s="20"/>
      <c r="J308" s="20"/>
      <c r="K308" s="20"/>
    </row>
    <row r="309" spans="1:11" x14ac:dyDescent="0.25">
      <c r="A309" s="20">
        <f t="shared" si="325"/>
        <v>1</v>
      </c>
      <c r="B309" s="20"/>
      <c r="C309" s="20"/>
      <c r="D309" s="20"/>
      <c r="E309" s="20"/>
      <c r="F309" s="20"/>
      <c r="G309" s="20"/>
      <c r="H309" s="20"/>
      <c r="I309" s="20"/>
      <c r="J309" s="20"/>
      <c r="K309" s="20"/>
    </row>
    <row r="310" spans="1:11" x14ac:dyDescent="0.25">
      <c r="A310" s="20">
        <f t="shared" si="325"/>
        <v>1</v>
      </c>
      <c r="B310" s="20"/>
      <c r="C310" s="20"/>
      <c r="D310" s="20"/>
      <c r="E310" s="20"/>
      <c r="F310" s="20"/>
      <c r="G310" s="20"/>
      <c r="H310" s="20"/>
      <c r="I310" s="20"/>
      <c r="J310" s="20"/>
      <c r="K310" s="20"/>
    </row>
    <row r="311" spans="1:11" x14ac:dyDescent="0.25">
      <c r="A311" s="20">
        <f t="shared" si="325"/>
        <v>1</v>
      </c>
      <c r="B311" s="20"/>
      <c r="C311" s="20"/>
      <c r="D311" s="20"/>
      <c r="E311" s="20"/>
      <c r="F311" s="20"/>
      <c r="G311" s="20"/>
      <c r="H311" s="20"/>
      <c r="I311" s="20"/>
      <c r="J311" s="20"/>
      <c r="K311" s="20"/>
    </row>
    <row r="312" spans="1:11" x14ac:dyDescent="0.25">
      <c r="A312" s="20">
        <f t="shared" si="325"/>
        <v>1</v>
      </c>
      <c r="B312" s="20"/>
      <c r="C312" s="20"/>
      <c r="D312" s="20"/>
      <c r="E312" s="20"/>
      <c r="F312" s="20"/>
      <c r="G312" s="20"/>
      <c r="H312" s="20"/>
      <c r="I312" s="20"/>
      <c r="J312" s="20"/>
      <c r="K312" s="20"/>
    </row>
    <row r="313" spans="1:11" x14ac:dyDescent="0.25">
      <c r="A313" s="20">
        <f t="shared" si="325"/>
        <v>1</v>
      </c>
      <c r="B313" s="20"/>
      <c r="C313" s="20"/>
      <c r="D313" s="20"/>
      <c r="E313" s="20"/>
      <c r="F313" s="20"/>
      <c r="G313" s="20"/>
      <c r="H313" s="20"/>
      <c r="I313" s="20"/>
      <c r="J313" s="20"/>
      <c r="K313" s="20"/>
    </row>
    <row r="314" spans="1:11" x14ac:dyDescent="0.25">
      <c r="A314" s="20">
        <f t="shared" si="325"/>
        <v>1</v>
      </c>
      <c r="B314" s="20"/>
      <c r="C314" s="20"/>
      <c r="D314" s="20"/>
      <c r="E314" s="20"/>
      <c r="F314" s="20"/>
      <c r="G314" s="20"/>
      <c r="H314" s="20"/>
      <c r="I314" s="20"/>
      <c r="J314" s="20"/>
      <c r="K314" s="20"/>
    </row>
    <row r="315" spans="1:11" x14ac:dyDescent="0.25">
      <c r="A315" s="20">
        <f t="shared" si="325"/>
        <v>1</v>
      </c>
      <c r="B315" s="20"/>
      <c r="C315" s="20"/>
      <c r="D315" s="20"/>
      <c r="E315" s="20"/>
      <c r="F315" s="20"/>
      <c r="G315" s="20"/>
      <c r="H315" s="20"/>
      <c r="I315" s="20"/>
      <c r="J315" s="20"/>
      <c r="K315" s="20"/>
    </row>
    <row r="316" spans="1:11" x14ac:dyDescent="0.25">
      <c r="A316" s="20">
        <f t="shared" si="325"/>
        <v>1</v>
      </c>
      <c r="B316" s="20"/>
      <c r="C316" s="20"/>
      <c r="D316" s="20"/>
      <c r="E316" s="20"/>
      <c r="F316" s="20"/>
      <c r="G316" s="20"/>
      <c r="H316" s="20"/>
      <c r="I316" s="20"/>
      <c r="J316" s="20"/>
      <c r="K316" s="20"/>
    </row>
    <row r="317" spans="1:11" x14ac:dyDescent="0.25">
      <c r="A317" s="20">
        <f t="shared" si="325"/>
        <v>1</v>
      </c>
      <c r="B317" s="20"/>
      <c r="C317" s="20"/>
      <c r="D317" s="20"/>
      <c r="E317" s="20"/>
      <c r="F317" s="20"/>
      <c r="G317" s="20"/>
      <c r="H317" s="20"/>
      <c r="I317" s="20"/>
      <c r="J317" s="20"/>
      <c r="K317" s="20"/>
    </row>
    <row r="318" spans="1:11" x14ac:dyDescent="0.25">
      <c r="A318" s="20">
        <f t="shared" si="325"/>
        <v>1</v>
      </c>
      <c r="B318" s="20"/>
      <c r="C318" s="20"/>
      <c r="D318" s="20"/>
      <c r="E318" s="20"/>
      <c r="F318" s="20"/>
      <c r="G318" s="20"/>
      <c r="H318" s="20"/>
      <c r="I318" s="20"/>
      <c r="J318" s="20"/>
      <c r="K318" s="20"/>
    </row>
    <row r="319" spans="1:11" x14ac:dyDescent="0.25">
      <c r="A319" s="20">
        <f t="shared" si="325"/>
        <v>1</v>
      </c>
      <c r="B319" s="20"/>
      <c r="C319" s="20"/>
      <c r="D319" s="20"/>
      <c r="E319" s="20"/>
      <c r="F319" s="20"/>
      <c r="G319" s="20"/>
      <c r="H319" s="20"/>
      <c r="I319" s="20"/>
      <c r="J319" s="20"/>
      <c r="K319" s="20"/>
    </row>
    <row r="320" spans="1:11" x14ac:dyDescent="0.25">
      <c r="A320" s="20">
        <f t="shared" si="325"/>
        <v>1</v>
      </c>
      <c r="B320" s="20"/>
      <c r="C320" s="20"/>
      <c r="D320" s="20"/>
      <c r="E320" s="20"/>
      <c r="F320" s="20"/>
      <c r="G320" s="20"/>
      <c r="H320" s="20"/>
      <c r="I320" s="20"/>
      <c r="J320" s="20"/>
      <c r="K320" s="20"/>
    </row>
    <row r="321" spans="1:11" x14ac:dyDescent="0.25">
      <c r="A321" s="20">
        <f t="shared" si="325"/>
        <v>1</v>
      </c>
      <c r="B321" s="20"/>
      <c r="C321" s="20"/>
      <c r="D321" s="20"/>
      <c r="E321" s="20"/>
      <c r="F321" s="20"/>
      <c r="G321" s="20"/>
      <c r="H321" s="20"/>
      <c r="I321" s="20"/>
      <c r="J321" s="20"/>
      <c r="K321" s="20"/>
    </row>
    <row r="322" spans="1:11" x14ac:dyDescent="0.25">
      <c r="A322" s="20">
        <f t="shared" ref="A322:A385" si="326">IF(F322&lt;&gt;F321,IF(A321=0,1,0),A321)</f>
        <v>1</v>
      </c>
      <c r="B322" s="20"/>
      <c r="C322" s="20"/>
      <c r="D322" s="20"/>
      <c r="E322" s="20"/>
      <c r="F322" s="20"/>
      <c r="G322" s="20"/>
      <c r="H322" s="20"/>
      <c r="I322" s="20"/>
      <c r="J322" s="20"/>
      <c r="K322" s="20"/>
    </row>
    <row r="323" spans="1:11" x14ac:dyDescent="0.25">
      <c r="A323" s="20">
        <f t="shared" si="326"/>
        <v>1</v>
      </c>
      <c r="B323" s="20"/>
      <c r="C323" s="20"/>
      <c r="D323" s="20"/>
      <c r="E323" s="20"/>
      <c r="F323" s="20"/>
      <c r="G323" s="20"/>
      <c r="H323" s="20"/>
      <c r="I323" s="20"/>
      <c r="J323" s="20"/>
      <c r="K323" s="20"/>
    </row>
    <row r="324" spans="1:11" x14ac:dyDescent="0.25">
      <c r="A324" s="20">
        <f t="shared" si="326"/>
        <v>1</v>
      </c>
      <c r="B324" s="20"/>
      <c r="C324" s="20"/>
      <c r="D324" s="20"/>
      <c r="E324" s="20"/>
      <c r="F324" s="20"/>
      <c r="G324" s="20"/>
      <c r="H324" s="20"/>
      <c r="I324" s="20"/>
      <c r="J324" s="20"/>
      <c r="K324" s="20"/>
    </row>
    <row r="325" spans="1:11" x14ac:dyDescent="0.25">
      <c r="A325" s="20">
        <f t="shared" si="326"/>
        <v>1</v>
      </c>
      <c r="B325" s="20"/>
      <c r="C325" s="20"/>
      <c r="D325" s="20"/>
      <c r="E325" s="20"/>
      <c r="F325" s="20"/>
      <c r="G325" s="20"/>
      <c r="H325" s="20"/>
      <c r="I325" s="20"/>
      <c r="J325" s="20"/>
      <c r="K325" s="20"/>
    </row>
    <row r="326" spans="1:11" x14ac:dyDescent="0.25">
      <c r="A326" s="20">
        <f t="shared" si="326"/>
        <v>1</v>
      </c>
      <c r="B326" s="20"/>
      <c r="C326" s="20"/>
      <c r="D326" s="20"/>
      <c r="E326" s="20"/>
      <c r="F326" s="20"/>
      <c r="G326" s="20"/>
      <c r="H326" s="20"/>
      <c r="I326" s="20"/>
      <c r="J326" s="20"/>
      <c r="K326" s="20"/>
    </row>
    <row r="327" spans="1:11" x14ac:dyDescent="0.25">
      <c r="A327" s="20">
        <f t="shared" si="326"/>
        <v>1</v>
      </c>
      <c r="B327" s="20"/>
      <c r="C327" s="20"/>
      <c r="D327" s="20"/>
      <c r="E327" s="20"/>
      <c r="F327" s="20"/>
      <c r="G327" s="20"/>
      <c r="H327" s="20"/>
      <c r="I327" s="20"/>
      <c r="J327" s="20"/>
      <c r="K327" s="20"/>
    </row>
    <row r="328" spans="1:11" x14ac:dyDescent="0.25">
      <c r="A328" s="20">
        <f t="shared" si="326"/>
        <v>1</v>
      </c>
      <c r="B328" s="20"/>
      <c r="C328" s="20"/>
      <c r="D328" s="20"/>
      <c r="E328" s="20"/>
      <c r="F328" s="20"/>
      <c r="G328" s="20"/>
      <c r="H328" s="20"/>
      <c r="I328" s="20"/>
      <c r="J328" s="20"/>
      <c r="K328" s="20"/>
    </row>
    <row r="329" spans="1:11" x14ac:dyDescent="0.25">
      <c r="A329" s="20">
        <f t="shared" si="326"/>
        <v>1</v>
      </c>
      <c r="B329" s="20"/>
      <c r="C329" s="20"/>
      <c r="D329" s="20"/>
      <c r="E329" s="20"/>
      <c r="F329" s="20"/>
      <c r="G329" s="20"/>
      <c r="H329" s="20"/>
      <c r="I329" s="20"/>
      <c r="J329" s="20"/>
      <c r="K329" s="20"/>
    </row>
    <row r="330" spans="1:11" x14ac:dyDescent="0.25">
      <c r="A330" s="20">
        <f t="shared" si="326"/>
        <v>1</v>
      </c>
      <c r="B330" s="20"/>
      <c r="C330" s="20"/>
      <c r="D330" s="20"/>
      <c r="E330" s="20"/>
      <c r="F330" s="20"/>
      <c r="G330" s="20"/>
      <c r="H330" s="20"/>
      <c r="I330" s="20"/>
      <c r="J330" s="20"/>
      <c r="K330" s="20"/>
    </row>
    <row r="331" spans="1:11" x14ac:dyDescent="0.25">
      <c r="A331" s="20">
        <f t="shared" si="326"/>
        <v>1</v>
      </c>
      <c r="B331" s="20"/>
      <c r="C331" s="20"/>
      <c r="D331" s="20"/>
      <c r="E331" s="20"/>
      <c r="F331" s="20"/>
      <c r="G331" s="20"/>
      <c r="H331" s="20"/>
      <c r="I331" s="20"/>
      <c r="J331" s="20"/>
      <c r="K331" s="20"/>
    </row>
    <row r="332" spans="1:11" x14ac:dyDescent="0.25">
      <c r="A332" s="20">
        <f t="shared" si="326"/>
        <v>1</v>
      </c>
      <c r="B332" s="20"/>
      <c r="C332" s="20"/>
      <c r="D332" s="20"/>
      <c r="E332" s="20"/>
      <c r="F332" s="20"/>
      <c r="G332" s="20"/>
      <c r="H332" s="20"/>
      <c r="I332" s="20"/>
      <c r="J332" s="20"/>
      <c r="K332" s="20"/>
    </row>
    <row r="333" spans="1:11" x14ac:dyDescent="0.25">
      <c r="A333" s="20">
        <f t="shared" si="326"/>
        <v>1</v>
      </c>
      <c r="B333" s="20"/>
      <c r="C333" s="20"/>
      <c r="D333" s="20"/>
      <c r="E333" s="20"/>
      <c r="F333" s="20"/>
      <c r="G333" s="20"/>
      <c r="H333" s="20"/>
      <c r="I333" s="20"/>
      <c r="J333" s="20"/>
      <c r="K333" s="20"/>
    </row>
    <row r="334" spans="1:11" x14ac:dyDescent="0.25">
      <c r="A334" s="20">
        <f t="shared" si="326"/>
        <v>1</v>
      </c>
      <c r="B334" s="20"/>
      <c r="C334" s="20"/>
      <c r="D334" s="20"/>
      <c r="E334" s="20"/>
      <c r="F334" s="20"/>
      <c r="G334" s="20"/>
      <c r="H334" s="20"/>
      <c r="I334" s="20"/>
      <c r="J334" s="20"/>
      <c r="K334" s="20"/>
    </row>
    <row r="335" spans="1:11" x14ac:dyDescent="0.25">
      <c r="A335" s="20">
        <f t="shared" si="326"/>
        <v>1</v>
      </c>
      <c r="B335" s="20"/>
      <c r="C335" s="20"/>
      <c r="D335" s="20"/>
      <c r="E335" s="20"/>
      <c r="F335" s="20"/>
      <c r="G335" s="20"/>
      <c r="H335" s="20"/>
      <c r="I335" s="20"/>
      <c r="J335" s="20"/>
      <c r="K335" s="20"/>
    </row>
    <row r="336" spans="1:11" x14ac:dyDescent="0.25">
      <c r="A336" s="20">
        <f t="shared" si="326"/>
        <v>1</v>
      </c>
      <c r="B336" s="20"/>
      <c r="C336" s="20"/>
      <c r="D336" s="20"/>
      <c r="E336" s="20"/>
      <c r="F336" s="20"/>
      <c r="G336" s="20"/>
      <c r="H336" s="20"/>
      <c r="I336" s="20"/>
      <c r="J336" s="20"/>
      <c r="K336" s="20"/>
    </row>
    <row r="337" spans="1:11" x14ac:dyDescent="0.25">
      <c r="A337" s="20">
        <f t="shared" si="326"/>
        <v>1</v>
      </c>
      <c r="B337" s="20"/>
      <c r="C337" s="20"/>
      <c r="D337" s="20"/>
      <c r="E337" s="20"/>
      <c r="F337" s="20"/>
      <c r="G337" s="20"/>
      <c r="H337" s="20"/>
      <c r="I337" s="20"/>
      <c r="J337" s="20"/>
      <c r="K337" s="20"/>
    </row>
    <row r="338" spans="1:11" x14ac:dyDescent="0.25">
      <c r="A338" s="20">
        <f t="shared" si="326"/>
        <v>1</v>
      </c>
      <c r="B338" s="20"/>
      <c r="C338" s="20"/>
      <c r="D338" s="20"/>
      <c r="E338" s="20"/>
      <c r="F338" s="20"/>
      <c r="G338" s="20"/>
      <c r="H338" s="20"/>
      <c r="I338" s="20"/>
      <c r="J338" s="20"/>
      <c r="K338" s="20"/>
    </row>
    <row r="339" spans="1:11" x14ac:dyDescent="0.25">
      <c r="A339" s="20">
        <f t="shared" si="326"/>
        <v>1</v>
      </c>
      <c r="B339" s="20"/>
      <c r="C339" s="20"/>
      <c r="D339" s="20"/>
      <c r="E339" s="20"/>
      <c r="F339" s="20"/>
      <c r="G339" s="20"/>
      <c r="H339" s="20"/>
      <c r="I339" s="20"/>
      <c r="J339" s="20"/>
      <c r="K339" s="20"/>
    </row>
    <row r="340" spans="1:11" x14ac:dyDescent="0.25">
      <c r="A340" s="20">
        <f t="shared" si="326"/>
        <v>1</v>
      </c>
      <c r="B340" s="20"/>
      <c r="C340" s="20"/>
      <c r="D340" s="20"/>
      <c r="E340" s="20"/>
      <c r="F340" s="20"/>
      <c r="G340" s="20"/>
      <c r="H340" s="20"/>
      <c r="I340" s="20"/>
      <c r="J340" s="20"/>
      <c r="K340" s="20"/>
    </row>
    <row r="341" spans="1:11" x14ac:dyDescent="0.25">
      <c r="A341" s="20">
        <f t="shared" si="326"/>
        <v>1</v>
      </c>
      <c r="B341" s="20"/>
      <c r="C341" s="20"/>
      <c r="D341" s="20"/>
      <c r="E341" s="20"/>
      <c r="F341" s="20"/>
      <c r="G341" s="20"/>
      <c r="H341" s="20"/>
      <c r="I341" s="20"/>
      <c r="J341" s="20"/>
      <c r="K341" s="20"/>
    </row>
    <row r="342" spans="1:11" x14ac:dyDescent="0.25">
      <c r="A342" s="20">
        <f t="shared" si="326"/>
        <v>1</v>
      </c>
      <c r="B342" s="20"/>
      <c r="C342" s="20"/>
      <c r="D342" s="20"/>
      <c r="E342" s="20"/>
      <c r="F342" s="20"/>
      <c r="G342" s="20"/>
      <c r="H342" s="20"/>
      <c r="I342" s="20"/>
      <c r="J342" s="20"/>
      <c r="K342" s="20"/>
    </row>
    <row r="343" spans="1:11" x14ac:dyDescent="0.25">
      <c r="A343" s="20">
        <f t="shared" si="326"/>
        <v>1</v>
      </c>
      <c r="B343" s="20"/>
      <c r="C343" s="20"/>
      <c r="D343" s="20"/>
      <c r="E343" s="20"/>
      <c r="F343" s="20"/>
      <c r="G343" s="20"/>
      <c r="H343" s="20"/>
      <c r="I343" s="20"/>
      <c r="J343" s="20"/>
      <c r="K343" s="20"/>
    </row>
    <row r="344" spans="1:11" x14ac:dyDescent="0.25">
      <c r="A344" s="20">
        <f t="shared" si="326"/>
        <v>1</v>
      </c>
      <c r="B344" s="20"/>
      <c r="C344" s="20"/>
      <c r="D344" s="20"/>
      <c r="E344" s="20"/>
      <c r="F344" s="20"/>
      <c r="G344" s="20"/>
      <c r="H344" s="20"/>
      <c r="I344" s="20"/>
      <c r="J344" s="20"/>
      <c r="K344" s="20"/>
    </row>
    <row r="345" spans="1:11" x14ac:dyDescent="0.25">
      <c r="A345" s="20">
        <f t="shared" si="326"/>
        <v>1</v>
      </c>
      <c r="B345" s="20"/>
      <c r="C345" s="20"/>
      <c r="D345" s="20"/>
      <c r="E345" s="20"/>
      <c r="F345" s="20"/>
      <c r="G345" s="20"/>
      <c r="H345" s="20"/>
      <c r="I345" s="20"/>
      <c r="J345" s="20"/>
      <c r="K345" s="20"/>
    </row>
    <row r="346" spans="1:11" x14ac:dyDescent="0.25">
      <c r="A346" s="20">
        <f t="shared" si="326"/>
        <v>1</v>
      </c>
      <c r="B346" s="20"/>
      <c r="C346" s="20"/>
      <c r="D346" s="20"/>
      <c r="E346" s="20"/>
      <c r="F346" s="20"/>
      <c r="G346" s="20"/>
      <c r="H346" s="20"/>
      <c r="I346" s="20"/>
      <c r="J346" s="20"/>
      <c r="K346" s="20"/>
    </row>
    <row r="347" spans="1:11" x14ac:dyDescent="0.25">
      <c r="A347" s="20">
        <f t="shared" si="326"/>
        <v>1</v>
      </c>
      <c r="B347" s="20"/>
      <c r="C347" s="20"/>
      <c r="D347" s="20"/>
      <c r="E347" s="20"/>
      <c r="F347" s="20"/>
      <c r="G347" s="20"/>
      <c r="H347" s="20"/>
      <c r="I347" s="20"/>
      <c r="J347" s="20"/>
      <c r="K347" s="20"/>
    </row>
    <row r="348" spans="1:11" x14ac:dyDescent="0.25">
      <c r="A348" s="20">
        <f t="shared" si="326"/>
        <v>1</v>
      </c>
      <c r="B348" s="20"/>
      <c r="C348" s="20"/>
      <c r="D348" s="20"/>
      <c r="E348" s="20"/>
      <c r="F348" s="20"/>
      <c r="G348" s="20"/>
      <c r="H348" s="20"/>
      <c r="I348" s="20"/>
      <c r="J348" s="20"/>
      <c r="K348" s="20"/>
    </row>
    <row r="349" spans="1:11" x14ac:dyDescent="0.25">
      <c r="A349" s="20">
        <f t="shared" si="326"/>
        <v>1</v>
      </c>
      <c r="B349" s="20"/>
      <c r="C349" s="20"/>
      <c r="D349" s="20"/>
      <c r="E349" s="20"/>
      <c r="F349" s="20"/>
      <c r="G349" s="20"/>
      <c r="H349" s="20"/>
      <c r="I349" s="20"/>
      <c r="J349" s="20"/>
      <c r="K349" s="20"/>
    </row>
    <row r="350" spans="1:11" x14ac:dyDescent="0.25">
      <c r="A350" s="20">
        <f t="shared" si="326"/>
        <v>1</v>
      </c>
      <c r="B350" s="20"/>
      <c r="C350" s="20"/>
      <c r="D350" s="20"/>
      <c r="E350" s="20"/>
      <c r="F350" s="20"/>
      <c r="G350" s="20"/>
      <c r="H350" s="20"/>
      <c r="I350" s="20"/>
      <c r="J350" s="20"/>
      <c r="K350" s="20"/>
    </row>
    <row r="351" spans="1:11" x14ac:dyDescent="0.25">
      <c r="A351" s="20">
        <f t="shared" si="326"/>
        <v>1</v>
      </c>
      <c r="B351" s="20"/>
      <c r="C351" s="20"/>
      <c r="D351" s="20"/>
      <c r="E351" s="20"/>
      <c r="F351" s="20"/>
      <c r="G351" s="20"/>
      <c r="H351" s="20"/>
      <c r="I351" s="20"/>
      <c r="J351" s="20"/>
      <c r="K351" s="20"/>
    </row>
    <row r="352" spans="1:11" x14ac:dyDescent="0.25">
      <c r="A352" s="20">
        <f t="shared" si="326"/>
        <v>1</v>
      </c>
      <c r="B352" s="20"/>
      <c r="C352" s="20"/>
      <c r="D352" s="20"/>
      <c r="E352" s="20"/>
      <c r="F352" s="20"/>
      <c r="G352" s="20"/>
      <c r="H352" s="20"/>
      <c r="I352" s="20"/>
      <c r="J352" s="20"/>
      <c r="K352" s="20"/>
    </row>
    <row r="353" spans="1:11" x14ac:dyDescent="0.25">
      <c r="A353" s="20">
        <f t="shared" si="326"/>
        <v>1</v>
      </c>
      <c r="B353" s="20"/>
      <c r="C353" s="20"/>
      <c r="D353" s="20"/>
      <c r="E353" s="20"/>
      <c r="F353" s="20"/>
      <c r="G353" s="20"/>
      <c r="H353" s="20"/>
      <c r="I353" s="20"/>
      <c r="J353" s="20"/>
      <c r="K353" s="20"/>
    </row>
    <row r="354" spans="1:11" x14ac:dyDescent="0.25">
      <c r="A354" s="20">
        <f t="shared" si="326"/>
        <v>1</v>
      </c>
      <c r="B354" s="20"/>
      <c r="C354" s="20"/>
      <c r="D354" s="20"/>
      <c r="E354" s="20"/>
      <c r="F354" s="20"/>
      <c r="G354" s="20"/>
      <c r="H354" s="20"/>
      <c r="I354" s="20"/>
      <c r="J354" s="20"/>
      <c r="K354" s="20"/>
    </row>
    <row r="355" spans="1:11" x14ac:dyDescent="0.25">
      <c r="A355" s="20">
        <f t="shared" si="326"/>
        <v>1</v>
      </c>
      <c r="B355" s="20"/>
      <c r="C355" s="20"/>
      <c r="D355" s="20"/>
      <c r="E355" s="20"/>
      <c r="F355" s="20"/>
      <c r="G355" s="20"/>
      <c r="H355" s="20"/>
      <c r="I355" s="20"/>
      <c r="J355" s="20"/>
      <c r="K355" s="20"/>
    </row>
    <row r="356" spans="1:11" x14ac:dyDescent="0.25">
      <c r="A356" s="20">
        <f t="shared" si="326"/>
        <v>1</v>
      </c>
      <c r="B356" s="20"/>
      <c r="C356" s="20"/>
      <c r="D356" s="20"/>
      <c r="E356" s="20"/>
      <c r="F356" s="20"/>
      <c r="G356" s="20"/>
      <c r="H356" s="20"/>
      <c r="I356" s="20"/>
      <c r="J356" s="20"/>
      <c r="K356" s="20"/>
    </row>
    <row r="357" spans="1:11" x14ac:dyDescent="0.25">
      <c r="A357" s="20">
        <f t="shared" si="326"/>
        <v>1</v>
      </c>
      <c r="B357" s="20"/>
      <c r="C357" s="20"/>
      <c r="D357" s="20"/>
      <c r="E357" s="20"/>
      <c r="F357" s="20"/>
      <c r="G357" s="20"/>
      <c r="H357" s="20"/>
      <c r="I357" s="20"/>
      <c r="J357" s="20"/>
      <c r="K357" s="20"/>
    </row>
    <row r="358" spans="1:11" x14ac:dyDescent="0.25">
      <c r="A358" s="20">
        <f t="shared" si="326"/>
        <v>1</v>
      </c>
      <c r="B358" s="20"/>
      <c r="C358" s="20"/>
      <c r="D358" s="20"/>
      <c r="E358" s="20"/>
      <c r="F358" s="20"/>
      <c r="G358" s="20"/>
      <c r="H358" s="20"/>
      <c r="I358" s="20"/>
      <c r="J358" s="20"/>
      <c r="K358" s="20"/>
    </row>
    <row r="359" spans="1:11" x14ac:dyDescent="0.25">
      <c r="A359" s="20">
        <f t="shared" si="326"/>
        <v>1</v>
      </c>
      <c r="B359" s="20"/>
      <c r="C359" s="20"/>
      <c r="D359" s="20"/>
      <c r="E359" s="20"/>
      <c r="F359" s="20"/>
      <c r="G359" s="20"/>
      <c r="H359" s="20"/>
      <c r="I359" s="20"/>
      <c r="J359" s="20"/>
      <c r="K359" s="20"/>
    </row>
    <row r="360" spans="1:11" x14ac:dyDescent="0.25">
      <c r="A360" s="20">
        <f t="shared" si="326"/>
        <v>1</v>
      </c>
      <c r="B360" s="20"/>
      <c r="C360" s="20"/>
      <c r="D360" s="20"/>
      <c r="E360" s="20"/>
      <c r="F360" s="20"/>
      <c r="G360" s="20"/>
      <c r="H360" s="20"/>
      <c r="I360" s="20"/>
      <c r="J360" s="20"/>
      <c r="K360" s="20"/>
    </row>
    <row r="361" spans="1:11" x14ac:dyDescent="0.25">
      <c r="A361" s="20">
        <f t="shared" si="326"/>
        <v>1</v>
      </c>
      <c r="B361" s="20"/>
      <c r="C361" s="20"/>
      <c r="D361" s="20"/>
      <c r="E361" s="20"/>
      <c r="F361" s="20"/>
      <c r="G361" s="20"/>
      <c r="H361" s="20"/>
      <c r="I361" s="20"/>
      <c r="J361" s="20"/>
      <c r="K361" s="20"/>
    </row>
    <row r="362" spans="1:11" x14ac:dyDescent="0.25">
      <c r="A362" s="20">
        <f t="shared" si="326"/>
        <v>1</v>
      </c>
      <c r="B362" s="20"/>
      <c r="C362" s="20"/>
      <c r="D362" s="20"/>
      <c r="E362" s="20"/>
      <c r="F362" s="20"/>
      <c r="G362" s="20"/>
      <c r="H362" s="20"/>
      <c r="I362" s="20"/>
      <c r="J362" s="20"/>
      <c r="K362" s="20"/>
    </row>
    <row r="363" spans="1:11" x14ac:dyDescent="0.25">
      <c r="A363" s="20">
        <f t="shared" si="326"/>
        <v>1</v>
      </c>
      <c r="B363" s="20"/>
      <c r="C363" s="20"/>
      <c r="D363" s="20"/>
      <c r="E363" s="20"/>
      <c r="F363" s="20"/>
      <c r="G363" s="20"/>
      <c r="H363" s="20"/>
      <c r="I363" s="20"/>
      <c r="J363" s="20"/>
      <c r="K363" s="20"/>
    </row>
    <row r="364" spans="1:11" x14ac:dyDescent="0.25">
      <c r="A364" s="20">
        <f t="shared" si="326"/>
        <v>1</v>
      </c>
      <c r="B364" s="20"/>
      <c r="C364" s="20"/>
      <c r="D364" s="20"/>
      <c r="E364" s="20"/>
      <c r="F364" s="20"/>
      <c r="G364" s="20"/>
      <c r="H364" s="20"/>
      <c r="I364" s="20"/>
      <c r="J364" s="20"/>
      <c r="K364" s="20"/>
    </row>
    <row r="365" spans="1:11" x14ac:dyDescent="0.25">
      <c r="A365" s="20">
        <f t="shared" si="326"/>
        <v>1</v>
      </c>
      <c r="B365" s="20"/>
      <c r="C365" s="20"/>
      <c r="D365" s="20"/>
      <c r="E365" s="20"/>
      <c r="F365" s="20"/>
      <c r="G365" s="20"/>
      <c r="H365" s="20"/>
      <c r="I365" s="20"/>
      <c r="J365" s="20"/>
      <c r="K365" s="20"/>
    </row>
    <row r="366" spans="1:11" x14ac:dyDescent="0.25">
      <c r="A366" s="20">
        <f t="shared" si="326"/>
        <v>1</v>
      </c>
      <c r="B366" s="20"/>
      <c r="C366" s="20"/>
      <c r="D366" s="20"/>
      <c r="E366" s="20"/>
      <c r="F366" s="20"/>
      <c r="G366" s="20"/>
      <c r="H366" s="20"/>
      <c r="I366" s="20"/>
      <c r="J366" s="20"/>
      <c r="K366" s="20"/>
    </row>
    <row r="367" spans="1:11" x14ac:dyDescent="0.25">
      <c r="A367" s="20">
        <f t="shared" si="326"/>
        <v>1</v>
      </c>
      <c r="B367" s="20"/>
      <c r="C367" s="20"/>
      <c r="D367" s="20"/>
      <c r="E367" s="20"/>
      <c r="F367" s="20"/>
      <c r="G367" s="20"/>
      <c r="H367" s="20"/>
      <c r="I367" s="20"/>
      <c r="J367" s="20"/>
      <c r="K367" s="20"/>
    </row>
    <row r="368" spans="1:11" x14ac:dyDescent="0.25">
      <c r="A368" s="20">
        <f t="shared" si="326"/>
        <v>1</v>
      </c>
      <c r="B368" s="20"/>
      <c r="C368" s="20"/>
      <c r="D368" s="20"/>
      <c r="E368" s="20"/>
      <c r="F368" s="20"/>
      <c r="G368" s="20"/>
      <c r="H368" s="20"/>
      <c r="I368" s="20"/>
      <c r="J368" s="20"/>
      <c r="K368" s="20"/>
    </row>
    <row r="369" spans="1:11" x14ac:dyDescent="0.25">
      <c r="A369" s="20">
        <f t="shared" si="326"/>
        <v>1</v>
      </c>
      <c r="B369" s="20"/>
      <c r="C369" s="20"/>
      <c r="D369" s="20"/>
      <c r="E369" s="20"/>
      <c r="F369" s="20"/>
      <c r="G369" s="20"/>
      <c r="H369" s="20"/>
      <c r="I369" s="20"/>
      <c r="J369" s="20"/>
      <c r="K369" s="20"/>
    </row>
    <row r="370" spans="1:11" x14ac:dyDescent="0.25">
      <c r="A370" s="20">
        <f t="shared" si="326"/>
        <v>1</v>
      </c>
      <c r="B370" s="20"/>
      <c r="C370" s="20"/>
      <c r="D370" s="20"/>
      <c r="E370" s="20"/>
      <c r="F370" s="20"/>
      <c r="G370" s="20"/>
      <c r="H370" s="20"/>
      <c r="I370" s="20"/>
      <c r="J370" s="20"/>
      <c r="K370" s="20"/>
    </row>
    <row r="371" spans="1:11" x14ac:dyDescent="0.25">
      <c r="A371" s="20">
        <f t="shared" si="326"/>
        <v>1</v>
      </c>
      <c r="B371" s="20"/>
      <c r="C371" s="20"/>
      <c r="D371" s="20"/>
      <c r="E371" s="20"/>
      <c r="F371" s="20"/>
      <c r="G371" s="20"/>
      <c r="H371" s="20"/>
      <c r="I371" s="20"/>
      <c r="J371" s="20"/>
      <c r="K371" s="20"/>
    </row>
    <row r="372" spans="1:11" x14ac:dyDescent="0.25">
      <c r="A372" s="20">
        <f t="shared" si="326"/>
        <v>1</v>
      </c>
      <c r="B372" s="20"/>
      <c r="C372" s="20"/>
      <c r="D372" s="20"/>
      <c r="E372" s="20"/>
      <c r="F372" s="20"/>
      <c r="G372" s="20"/>
      <c r="H372" s="20"/>
      <c r="I372" s="20"/>
      <c r="J372" s="20"/>
      <c r="K372" s="20"/>
    </row>
    <row r="373" spans="1:11" x14ac:dyDescent="0.25">
      <c r="A373" s="20">
        <f t="shared" si="326"/>
        <v>1</v>
      </c>
      <c r="B373" s="20"/>
      <c r="C373" s="20"/>
      <c r="D373" s="20"/>
      <c r="E373" s="20"/>
      <c r="F373" s="20"/>
      <c r="G373" s="20"/>
      <c r="H373" s="20"/>
      <c r="I373" s="20"/>
      <c r="J373" s="20"/>
      <c r="K373" s="20"/>
    </row>
    <row r="374" spans="1:11" x14ac:dyDescent="0.25">
      <c r="A374" s="20">
        <f t="shared" si="326"/>
        <v>1</v>
      </c>
      <c r="B374" s="20"/>
      <c r="C374" s="20"/>
      <c r="D374" s="20"/>
      <c r="E374" s="20"/>
      <c r="F374" s="20"/>
      <c r="G374" s="20"/>
      <c r="H374" s="20"/>
      <c r="I374" s="20"/>
      <c r="J374" s="20"/>
      <c r="K374" s="20"/>
    </row>
    <row r="375" spans="1:11" x14ac:dyDescent="0.25">
      <c r="A375" s="20">
        <f t="shared" si="326"/>
        <v>1</v>
      </c>
      <c r="B375" s="20"/>
      <c r="C375" s="20"/>
      <c r="D375" s="20"/>
      <c r="E375" s="20"/>
      <c r="F375" s="20"/>
      <c r="G375" s="20"/>
      <c r="H375" s="20"/>
      <c r="I375" s="20"/>
      <c r="J375" s="20"/>
      <c r="K375" s="20"/>
    </row>
    <row r="376" spans="1:11" x14ac:dyDescent="0.25">
      <c r="A376" s="20">
        <f t="shared" si="326"/>
        <v>1</v>
      </c>
      <c r="B376" s="20"/>
      <c r="C376" s="20"/>
      <c r="D376" s="20"/>
      <c r="E376" s="20"/>
      <c r="F376" s="20"/>
      <c r="G376" s="20"/>
      <c r="H376" s="20"/>
      <c r="I376" s="20"/>
      <c r="J376" s="20"/>
      <c r="K376" s="20"/>
    </row>
    <row r="377" spans="1:11" x14ac:dyDescent="0.25">
      <c r="A377" s="20">
        <f t="shared" si="326"/>
        <v>1</v>
      </c>
      <c r="B377" s="20"/>
      <c r="C377" s="20"/>
      <c r="D377" s="20"/>
      <c r="E377" s="20"/>
      <c r="F377" s="20"/>
      <c r="G377" s="20"/>
      <c r="H377" s="20"/>
      <c r="I377" s="20"/>
      <c r="J377" s="20"/>
      <c r="K377" s="20"/>
    </row>
    <row r="378" spans="1:11" x14ac:dyDescent="0.25">
      <c r="A378" s="20">
        <f t="shared" si="326"/>
        <v>1</v>
      </c>
      <c r="B378" s="20"/>
      <c r="C378" s="20"/>
      <c r="D378" s="20"/>
      <c r="E378" s="20"/>
      <c r="F378" s="20"/>
      <c r="G378" s="20"/>
      <c r="H378" s="20"/>
      <c r="I378" s="20"/>
      <c r="J378" s="20"/>
      <c r="K378" s="20"/>
    </row>
    <row r="379" spans="1:11" x14ac:dyDescent="0.25">
      <c r="A379" s="20">
        <f t="shared" si="326"/>
        <v>1</v>
      </c>
      <c r="B379" s="20"/>
      <c r="C379" s="20"/>
      <c r="D379" s="20"/>
      <c r="E379" s="20"/>
      <c r="F379" s="20"/>
      <c r="G379" s="20"/>
      <c r="H379" s="20"/>
      <c r="I379" s="20"/>
      <c r="J379" s="20"/>
      <c r="K379" s="20"/>
    </row>
    <row r="380" spans="1:11" x14ac:dyDescent="0.25">
      <c r="A380" s="20">
        <f t="shared" si="326"/>
        <v>1</v>
      </c>
      <c r="B380" s="20"/>
      <c r="C380" s="20"/>
      <c r="D380" s="20"/>
      <c r="E380" s="20"/>
      <c r="F380" s="20"/>
      <c r="G380" s="20"/>
      <c r="H380" s="20"/>
      <c r="I380" s="20"/>
      <c r="J380" s="20"/>
      <c r="K380" s="20"/>
    </row>
    <row r="381" spans="1:11" x14ac:dyDescent="0.25">
      <c r="A381" s="20">
        <f t="shared" si="326"/>
        <v>1</v>
      </c>
      <c r="B381" s="20"/>
      <c r="C381" s="20"/>
      <c r="D381" s="20"/>
      <c r="E381" s="20"/>
      <c r="F381" s="20"/>
      <c r="G381" s="20"/>
      <c r="H381" s="20"/>
      <c r="I381" s="20"/>
      <c r="J381" s="20"/>
      <c r="K381" s="20"/>
    </row>
    <row r="382" spans="1:11" x14ac:dyDescent="0.25">
      <c r="A382" s="20">
        <f t="shared" si="326"/>
        <v>1</v>
      </c>
      <c r="B382" s="20"/>
      <c r="C382" s="20"/>
      <c r="D382" s="20"/>
      <c r="E382" s="20"/>
      <c r="F382" s="20"/>
      <c r="G382" s="20"/>
      <c r="H382" s="20"/>
      <c r="I382" s="20"/>
      <c r="J382" s="20"/>
      <c r="K382" s="20"/>
    </row>
    <row r="383" spans="1:11" x14ac:dyDescent="0.25">
      <c r="A383" s="20">
        <f t="shared" si="326"/>
        <v>1</v>
      </c>
      <c r="B383" s="20"/>
      <c r="C383" s="20"/>
      <c r="D383" s="20"/>
      <c r="E383" s="20"/>
      <c r="F383" s="20"/>
      <c r="G383" s="20"/>
      <c r="H383" s="20"/>
      <c r="I383" s="20"/>
      <c r="J383" s="20"/>
      <c r="K383" s="20"/>
    </row>
    <row r="384" spans="1:11" x14ac:dyDescent="0.25">
      <c r="A384" s="20">
        <f t="shared" si="326"/>
        <v>1</v>
      </c>
      <c r="B384" s="20"/>
      <c r="C384" s="20"/>
      <c r="D384" s="20"/>
      <c r="E384" s="20"/>
      <c r="F384" s="20"/>
      <c r="G384" s="20"/>
      <c r="H384" s="20"/>
      <c r="I384" s="20"/>
      <c r="J384" s="20"/>
      <c r="K384" s="20"/>
    </row>
    <row r="385" spans="1:11" x14ac:dyDescent="0.25">
      <c r="A385" s="20">
        <f t="shared" si="326"/>
        <v>1</v>
      </c>
      <c r="B385" s="20"/>
      <c r="C385" s="20"/>
      <c r="D385" s="20"/>
      <c r="E385" s="20"/>
      <c r="F385" s="20"/>
      <c r="G385" s="20"/>
      <c r="H385" s="20"/>
      <c r="I385" s="20"/>
      <c r="J385" s="20"/>
      <c r="K385" s="20"/>
    </row>
    <row r="386" spans="1:11" x14ac:dyDescent="0.25">
      <c r="A386" s="20">
        <f t="shared" ref="A386:A449" si="327">IF(F386&lt;&gt;F385,IF(A385=0,1,0),A385)</f>
        <v>1</v>
      </c>
      <c r="B386" s="20"/>
      <c r="C386" s="20"/>
      <c r="D386" s="20"/>
      <c r="E386" s="20"/>
      <c r="F386" s="20"/>
      <c r="G386" s="20"/>
      <c r="H386" s="20"/>
      <c r="I386" s="20"/>
      <c r="J386" s="20"/>
      <c r="K386" s="20"/>
    </row>
    <row r="387" spans="1:11" x14ac:dyDescent="0.25">
      <c r="A387" s="20">
        <f t="shared" si="327"/>
        <v>1</v>
      </c>
      <c r="B387" s="20"/>
      <c r="C387" s="20"/>
      <c r="D387" s="20"/>
      <c r="E387" s="20"/>
      <c r="F387" s="20"/>
      <c r="G387" s="20"/>
      <c r="H387" s="20"/>
      <c r="I387" s="20"/>
      <c r="J387" s="20"/>
      <c r="K387" s="20"/>
    </row>
    <row r="388" spans="1:11" x14ac:dyDescent="0.25">
      <c r="A388" s="20">
        <f t="shared" si="327"/>
        <v>1</v>
      </c>
      <c r="B388" s="20"/>
      <c r="C388" s="20"/>
      <c r="D388" s="20"/>
      <c r="E388" s="20"/>
      <c r="F388" s="20"/>
      <c r="G388" s="20"/>
      <c r="H388" s="20"/>
      <c r="I388" s="20"/>
      <c r="J388" s="20"/>
      <c r="K388" s="20"/>
    </row>
    <row r="389" spans="1:11" x14ac:dyDescent="0.25">
      <c r="A389" s="20">
        <f t="shared" si="327"/>
        <v>1</v>
      </c>
      <c r="B389" s="20"/>
      <c r="C389" s="20"/>
      <c r="D389" s="20"/>
      <c r="E389" s="20"/>
      <c r="F389" s="20"/>
      <c r="G389" s="20"/>
      <c r="H389" s="20"/>
      <c r="I389" s="20"/>
      <c r="J389" s="20"/>
      <c r="K389" s="20"/>
    </row>
    <row r="390" spans="1:11" x14ac:dyDescent="0.25">
      <c r="A390" s="20">
        <f t="shared" si="327"/>
        <v>1</v>
      </c>
      <c r="B390" s="20"/>
      <c r="C390" s="20"/>
      <c r="D390" s="20"/>
      <c r="E390" s="20"/>
      <c r="F390" s="20"/>
      <c r="G390" s="20"/>
      <c r="H390" s="20"/>
      <c r="I390" s="20"/>
      <c r="J390" s="20"/>
      <c r="K390" s="20"/>
    </row>
    <row r="391" spans="1:11" x14ac:dyDescent="0.25">
      <c r="A391" s="20">
        <f t="shared" si="327"/>
        <v>1</v>
      </c>
      <c r="B391" s="20"/>
      <c r="C391" s="20"/>
      <c r="D391" s="20"/>
      <c r="E391" s="20"/>
      <c r="F391" s="20"/>
      <c r="G391" s="20"/>
      <c r="H391" s="20"/>
      <c r="I391" s="20"/>
      <c r="J391" s="20"/>
      <c r="K391" s="20"/>
    </row>
    <row r="392" spans="1:11" x14ac:dyDescent="0.25">
      <c r="A392" s="20">
        <f t="shared" si="327"/>
        <v>1</v>
      </c>
      <c r="B392" s="20"/>
      <c r="C392" s="20"/>
      <c r="D392" s="20"/>
      <c r="E392" s="20"/>
      <c r="F392" s="20"/>
      <c r="G392" s="20"/>
      <c r="H392" s="20"/>
      <c r="I392" s="20"/>
      <c r="J392" s="20"/>
      <c r="K392" s="20"/>
    </row>
    <row r="393" spans="1:11" x14ac:dyDescent="0.25">
      <c r="A393" s="20">
        <f t="shared" si="327"/>
        <v>1</v>
      </c>
      <c r="B393" s="20"/>
      <c r="C393" s="20"/>
      <c r="D393" s="20"/>
      <c r="E393" s="20"/>
      <c r="F393" s="20"/>
      <c r="G393" s="20"/>
      <c r="H393" s="20"/>
      <c r="I393" s="20"/>
      <c r="J393" s="20"/>
      <c r="K393" s="20"/>
    </row>
    <row r="394" spans="1:11" x14ac:dyDescent="0.25">
      <c r="A394" s="20">
        <f t="shared" si="327"/>
        <v>1</v>
      </c>
      <c r="B394" s="20"/>
      <c r="C394" s="20"/>
      <c r="D394" s="20"/>
      <c r="E394" s="20"/>
      <c r="F394" s="20"/>
      <c r="G394" s="20"/>
      <c r="H394" s="20"/>
      <c r="I394" s="20"/>
      <c r="J394" s="20"/>
      <c r="K394" s="20"/>
    </row>
    <row r="395" spans="1:11" x14ac:dyDescent="0.25">
      <c r="A395" s="20">
        <f t="shared" si="327"/>
        <v>1</v>
      </c>
      <c r="B395" s="20"/>
      <c r="C395" s="20"/>
      <c r="D395" s="20"/>
      <c r="E395" s="20"/>
      <c r="F395" s="20"/>
      <c r="G395" s="20"/>
      <c r="H395" s="20"/>
      <c r="I395" s="20"/>
      <c r="J395" s="20"/>
      <c r="K395" s="20"/>
    </row>
    <row r="396" spans="1:11" x14ac:dyDescent="0.25">
      <c r="A396" s="20">
        <f t="shared" si="327"/>
        <v>1</v>
      </c>
      <c r="B396" s="20"/>
      <c r="C396" s="20"/>
      <c r="D396" s="20"/>
      <c r="E396" s="20"/>
      <c r="F396" s="20"/>
      <c r="G396" s="20"/>
      <c r="H396" s="20"/>
      <c r="I396" s="20"/>
      <c r="J396" s="20"/>
      <c r="K396" s="20"/>
    </row>
    <row r="397" spans="1:11" x14ac:dyDescent="0.25">
      <c r="A397" s="20">
        <f t="shared" si="327"/>
        <v>1</v>
      </c>
      <c r="B397" s="20"/>
      <c r="C397" s="20"/>
      <c r="D397" s="20"/>
      <c r="E397" s="20"/>
      <c r="F397" s="20"/>
      <c r="G397" s="20"/>
      <c r="H397" s="20"/>
      <c r="I397" s="20"/>
      <c r="J397" s="20"/>
      <c r="K397" s="20"/>
    </row>
    <row r="398" spans="1:11" x14ac:dyDescent="0.25">
      <c r="A398" s="20">
        <f t="shared" si="327"/>
        <v>1</v>
      </c>
      <c r="B398" s="20"/>
      <c r="C398" s="20"/>
      <c r="D398" s="20"/>
      <c r="E398" s="20"/>
      <c r="F398" s="20"/>
      <c r="G398" s="20"/>
      <c r="H398" s="20"/>
      <c r="I398" s="20"/>
      <c r="J398" s="20"/>
      <c r="K398" s="20"/>
    </row>
    <row r="399" spans="1:11" x14ac:dyDescent="0.25">
      <c r="A399" s="20">
        <f t="shared" si="327"/>
        <v>1</v>
      </c>
      <c r="B399" s="20"/>
      <c r="C399" s="20"/>
      <c r="D399" s="20"/>
      <c r="E399" s="20"/>
      <c r="F399" s="20"/>
      <c r="G399" s="20"/>
      <c r="H399" s="20"/>
      <c r="I399" s="20"/>
      <c r="J399" s="20"/>
      <c r="K399" s="20"/>
    </row>
    <row r="400" spans="1:11" x14ac:dyDescent="0.25">
      <c r="A400" s="20">
        <f t="shared" si="327"/>
        <v>1</v>
      </c>
      <c r="B400" s="20"/>
      <c r="C400" s="20"/>
      <c r="D400" s="20"/>
      <c r="E400" s="20"/>
      <c r="F400" s="20"/>
      <c r="G400" s="20"/>
      <c r="H400" s="20"/>
      <c r="I400" s="20"/>
      <c r="J400" s="20"/>
      <c r="K400" s="20"/>
    </row>
    <row r="401" spans="1:11" x14ac:dyDescent="0.25">
      <c r="A401" s="20">
        <f t="shared" si="327"/>
        <v>1</v>
      </c>
      <c r="B401" s="20"/>
      <c r="C401" s="20"/>
      <c r="D401" s="20"/>
      <c r="E401" s="20"/>
      <c r="F401" s="20"/>
      <c r="G401" s="20"/>
      <c r="H401" s="20"/>
      <c r="I401" s="20"/>
      <c r="J401" s="20"/>
      <c r="K401" s="20"/>
    </row>
    <row r="402" spans="1:11" x14ac:dyDescent="0.25">
      <c r="A402" s="20">
        <f t="shared" si="327"/>
        <v>1</v>
      </c>
      <c r="B402" s="20"/>
      <c r="C402" s="20"/>
      <c r="D402" s="20"/>
      <c r="E402" s="20"/>
      <c r="F402" s="20"/>
      <c r="G402" s="20"/>
      <c r="H402" s="20"/>
      <c r="I402" s="20"/>
      <c r="J402" s="20"/>
      <c r="K402" s="20"/>
    </row>
    <row r="403" spans="1:11" x14ac:dyDescent="0.25">
      <c r="A403" s="20">
        <f t="shared" si="327"/>
        <v>1</v>
      </c>
      <c r="B403" s="20"/>
      <c r="C403" s="20"/>
      <c r="D403" s="20"/>
      <c r="E403" s="20"/>
      <c r="F403" s="20"/>
      <c r="G403" s="20"/>
      <c r="H403" s="20"/>
      <c r="I403" s="20"/>
      <c r="J403" s="20"/>
      <c r="K403" s="20"/>
    </row>
    <row r="404" spans="1:11" x14ac:dyDescent="0.25">
      <c r="A404" s="20">
        <f t="shared" si="327"/>
        <v>1</v>
      </c>
      <c r="B404" s="20"/>
      <c r="C404" s="20"/>
      <c r="D404" s="20"/>
      <c r="E404" s="20"/>
      <c r="F404" s="20"/>
      <c r="G404" s="20"/>
      <c r="H404" s="20"/>
      <c r="I404" s="20"/>
      <c r="J404" s="20"/>
      <c r="K404" s="20"/>
    </row>
    <row r="405" spans="1:11" x14ac:dyDescent="0.25">
      <c r="A405" s="20">
        <f t="shared" si="327"/>
        <v>1</v>
      </c>
      <c r="B405" s="20"/>
      <c r="C405" s="20"/>
      <c r="D405" s="20"/>
      <c r="E405" s="20"/>
      <c r="F405" s="20"/>
      <c r="G405" s="20"/>
      <c r="H405" s="20"/>
      <c r="I405" s="20"/>
      <c r="J405" s="20"/>
      <c r="K405" s="20"/>
    </row>
    <row r="406" spans="1:11" x14ac:dyDescent="0.25">
      <c r="A406" s="20">
        <f t="shared" si="327"/>
        <v>1</v>
      </c>
      <c r="B406" s="20"/>
      <c r="C406" s="20"/>
      <c r="D406" s="20"/>
      <c r="E406" s="20"/>
      <c r="F406" s="20"/>
      <c r="G406" s="20"/>
      <c r="H406" s="20"/>
      <c r="I406" s="20"/>
      <c r="J406" s="20"/>
      <c r="K406" s="20"/>
    </row>
    <row r="407" spans="1:11" x14ac:dyDescent="0.25">
      <c r="A407" s="20">
        <f t="shared" si="327"/>
        <v>1</v>
      </c>
      <c r="B407" s="20"/>
      <c r="C407" s="20"/>
      <c r="D407" s="20"/>
      <c r="E407" s="20"/>
      <c r="F407" s="20"/>
      <c r="G407" s="20"/>
      <c r="H407" s="20"/>
      <c r="I407" s="20"/>
      <c r="J407" s="20"/>
      <c r="K407" s="20"/>
    </row>
    <row r="408" spans="1:11" x14ac:dyDescent="0.25">
      <c r="A408" s="20">
        <f t="shared" si="327"/>
        <v>1</v>
      </c>
      <c r="B408" s="20"/>
      <c r="C408" s="20"/>
      <c r="D408" s="20"/>
      <c r="E408" s="20"/>
      <c r="F408" s="20"/>
      <c r="G408" s="20"/>
      <c r="H408" s="20"/>
      <c r="I408" s="20"/>
      <c r="J408" s="20"/>
      <c r="K408" s="20"/>
    </row>
    <row r="409" spans="1:11" x14ac:dyDescent="0.25">
      <c r="A409" s="20">
        <f t="shared" si="327"/>
        <v>1</v>
      </c>
      <c r="B409" s="20"/>
      <c r="C409" s="20"/>
      <c r="D409" s="20"/>
      <c r="E409" s="20"/>
      <c r="F409" s="20"/>
      <c r="G409" s="20"/>
      <c r="H409" s="20"/>
      <c r="I409" s="20"/>
      <c r="J409" s="20"/>
      <c r="K409" s="20"/>
    </row>
    <row r="410" spans="1:11" x14ac:dyDescent="0.25">
      <c r="A410" s="20">
        <f t="shared" si="327"/>
        <v>1</v>
      </c>
      <c r="B410" s="20"/>
      <c r="C410" s="20"/>
      <c r="D410" s="20"/>
      <c r="E410" s="20"/>
      <c r="F410" s="20"/>
      <c r="G410" s="20"/>
      <c r="H410" s="20"/>
      <c r="I410" s="20"/>
      <c r="J410" s="20"/>
      <c r="K410" s="20"/>
    </row>
    <row r="411" spans="1:11" x14ac:dyDescent="0.25">
      <c r="A411" s="20">
        <f t="shared" si="327"/>
        <v>1</v>
      </c>
      <c r="B411" s="20"/>
      <c r="C411" s="20"/>
      <c r="D411" s="20"/>
      <c r="E411" s="20"/>
      <c r="F411" s="20"/>
      <c r="G411" s="20"/>
      <c r="H411" s="20"/>
      <c r="I411" s="20"/>
      <c r="J411" s="20"/>
      <c r="K411" s="20"/>
    </row>
    <row r="412" spans="1:11" x14ac:dyDescent="0.25">
      <c r="A412" s="20">
        <f t="shared" si="327"/>
        <v>1</v>
      </c>
      <c r="B412" s="20"/>
      <c r="C412" s="20"/>
      <c r="D412" s="20"/>
      <c r="E412" s="20"/>
      <c r="F412" s="20"/>
      <c r="G412" s="20"/>
      <c r="H412" s="20"/>
      <c r="I412" s="20"/>
      <c r="J412" s="20"/>
      <c r="K412" s="20"/>
    </row>
    <row r="413" spans="1:11" x14ac:dyDescent="0.25">
      <c r="A413" s="20">
        <f t="shared" si="327"/>
        <v>1</v>
      </c>
      <c r="B413" s="20"/>
      <c r="C413" s="20"/>
      <c r="D413" s="20"/>
      <c r="E413" s="20"/>
      <c r="F413" s="20"/>
      <c r="G413" s="20"/>
      <c r="H413" s="20"/>
      <c r="I413" s="20"/>
      <c r="J413" s="20"/>
      <c r="K413" s="20"/>
    </row>
    <row r="414" spans="1:11" x14ac:dyDescent="0.25">
      <c r="A414" s="20">
        <f t="shared" si="327"/>
        <v>1</v>
      </c>
      <c r="B414" s="20"/>
      <c r="C414" s="20"/>
      <c r="D414" s="20"/>
      <c r="E414" s="20"/>
      <c r="F414" s="20"/>
      <c r="G414" s="20"/>
      <c r="H414" s="20"/>
      <c r="I414" s="20"/>
      <c r="J414" s="20"/>
      <c r="K414" s="20"/>
    </row>
    <row r="415" spans="1:11" x14ac:dyDescent="0.25">
      <c r="A415" s="20">
        <f t="shared" si="327"/>
        <v>1</v>
      </c>
      <c r="B415" s="20"/>
      <c r="C415" s="20"/>
      <c r="D415" s="20"/>
      <c r="E415" s="20"/>
      <c r="F415" s="20"/>
      <c r="G415" s="20"/>
      <c r="H415" s="20"/>
      <c r="I415" s="20"/>
      <c r="J415" s="20"/>
      <c r="K415" s="20"/>
    </row>
    <row r="416" spans="1:11" x14ac:dyDescent="0.25">
      <c r="A416" s="20">
        <f t="shared" si="327"/>
        <v>1</v>
      </c>
      <c r="B416" s="20"/>
      <c r="C416" s="20"/>
      <c r="D416" s="20"/>
      <c r="E416" s="20"/>
      <c r="F416" s="20"/>
      <c r="G416" s="20"/>
      <c r="H416" s="20"/>
      <c r="I416" s="20"/>
      <c r="J416" s="20"/>
      <c r="K416" s="20"/>
    </row>
    <row r="417" spans="1:11" x14ac:dyDescent="0.25">
      <c r="A417" s="20">
        <f t="shared" si="327"/>
        <v>1</v>
      </c>
      <c r="B417" s="20"/>
      <c r="C417" s="20"/>
      <c r="D417" s="20"/>
      <c r="E417" s="20"/>
      <c r="F417" s="20"/>
      <c r="G417" s="20"/>
      <c r="H417" s="20"/>
      <c r="I417" s="20"/>
      <c r="J417" s="20"/>
      <c r="K417" s="20"/>
    </row>
    <row r="418" spans="1:11" x14ac:dyDescent="0.25">
      <c r="A418" s="20">
        <f t="shared" si="327"/>
        <v>1</v>
      </c>
      <c r="B418" s="20"/>
      <c r="C418" s="20"/>
      <c r="D418" s="20"/>
      <c r="E418" s="20"/>
      <c r="F418" s="20"/>
      <c r="G418" s="20"/>
      <c r="H418" s="20"/>
      <c r="I418" s="20"/>
      <c r="J418" s="20"/>
      <c r="K418" s="20"/>
    </row>
    <row r="419" spans="1:11" x14ac:dyDescent="0.25">
      <c r="A419" s="20">
        <f t="shared" si="327"/>
        <v>1</v>
      </c>
      <c r="B419" s="20"/>
      <c r="C419" s="20"/>
      <c r="D419" s="20"/>
      <c r="E419" s="20"/>
      <c r="F419" s="20"/>
      <c r="G419" s="20"/>
      <c r="H419" s="20"/>
      <c r="I419" s="20"/>
      <c r="J419" s="20"/>
      <c r="K419" s="20"/>
    </row>
    <row r="420" spans="1:11" x14ac:dyDescent="0.25">
      <c r="A420" s="20">
        <f t="shared" si="327"/>
        <v>1</v>
      </c>
      <c r="B420" s="20"/>
      <c r="C420" s="20"/>
      <c r="D420" s="20"/>
      <c r="E420" s="20"/>
      <c r="F420" s="20"/>
      <c r="G420" s="20"/>
      <c r="H420" s="20"/>
      <c r="I420" s="20"/>
      <c r="J420" s="20"/>
      <c r="K420" s="20"/>
    </row>
    <row r="421" spans="1:11" x14ac:dyDescent="0.25">
      <c r="A421" s="20">
        <f t="shared" si="327"/>
        <v>1</v>
      </c>
      <c r="B421" s="20"/>
      <c r="C421" s="20"/>
      <c r="D421" s="20"/>
      <c r="E421" s="20"/>
      <c r="F421" s="20"/>
      <c r="G421" s="20"/>
      <c r="H421" s="20"/>
      <c r="I421" s="20"/>
      <c r="J421" s="20"/>
      <c r="K421" s="20"/>
    </row>
    <row r="422" spans="1:11" x14ac:dyDescent="0.25">
      <c r="A422" s="20">
        <f t="shared" si="327"/>
        <v>1</v>
      </c>
      <c r="B422" s="20"/>
      <c r="C422" s="20"/>
      <c r="D422" s="20"/>
      <c r="E422" s="20"/>
      <c r="F422" s="20"/>
      <c r="G422" s="20"/>
      <c r="H422" s="20"/>
      <c r="I422" s="20"/>
      <c r="J422" s="20"/>
      <c r="K422" s="20"/>
    </row>
    <row r="423" spans="1:11" x14ac:dyDescent="0.25">
      <c r="A423" s="20">
        <f t="shared" si="327"/>
        <v>1</v>
      </c>
      <c r="B423" s="20"/>
      <c r="C423" s="20"/>
      <c r="D423" s="20"/>
      <c r="E423" s="20"/>
      <c r="F423" s="20"/>
      <c r="G423" s="20"/>
      <c r="H423" s="20"/>
      <c r="I423" s="20"/>
      <c r="J423" s="20"/>
      <c r="K423" s="20"/>
    </row>
    <row r="424" spans="1:11" x14ac:dyDescent="0.25">
      <c r="A424" s="20">
        <f t="shared" si="327"/>
        <v>1</v>
      </c>
      <c r="B424" s="20"/>
      <c r="C424" s="20"/>
      <c r="D424" s="20"/>
      <c r="E424" s="20"/>
      <c r="F424" s="20"/>
      <c r="G424" s="20"/>
      <c r="H424" s="20"/>
      <c r="I424" s="20"/>
      <c r="J424" s="20"/>
      <c r="K424" s="20"/>
    </row>
    <row r="425" spans="1:11" x14ac:dyDescent="0.25">
      <c r="A425" s="20">
        <f t="shared" si="327"/>
        <v>1</v>
      </c>
      <c r="B425" s="20"/>
      <c r="C425" s="20"/>
      <c r="D425" s="20"/>
      <c r="E425" s="20"/>
      <c r="F425" s="20"/>
      <c r="G425" s="20"/>
      <c r="H425" s="20"/>
      <c r="I425" s="20"/>
      <c r="J425" s="20"/>
      <c r="K425" s="20"/>
    </row>
    <row r="426" spans="1:11" x14ac:dyDescent="0.25">
      <c r="A426" s="20">
        <f t="shared" si="327"/>
        <v>1</v>
      </c>
      <c r="B426" s="20"/>
      <c r="C426" s="20"/>
      <c r="D426" s="20"/>
      <c r="E426" s="20"/>
      <c r="F426" s="20"/>
      <c r="G426" s="20"/>
      <c r="H426" s="20"/>
      <c r="I426" s="20"/>
      <c r="J426" s="20"/>
      <c r="K426" s="20"/>
    </row>
    <row r="427" spans="1:11" x14ac:dyDescent="0.25">
      <c r="A427" s="20">
        <f t="shared" si="327"/>
        <v>1</v>
      </c>
      <c r="B427" s="20"/>
      <c r="C427" s="20"/>
      <c r="D427" s="20"/>
      <c r="E427" s="20"/>
      <c r="F427" s="20"/>
      <c r="G427" s="20"/>
      <c r="H427" s="20"/>
      <c r="I427" s="20"/>
      <c r="J427" s="20"/>
      <c r="K427" s="20"/>
    </row>
    <row r="428" spans="1:11" x14ac:dyDescent="0.25">
      <c r="A428" s="20">
        <f t="shared" si="327"/>
        <v>1</v>
      </c>
      <c r="B428" s="20"/>
      <c r="C428" s="20"/>
      <c r="D428" s="20"/>
      <c r="E428" s="20"/>
      <c r="F428" s="20"/>
      <c r="G428" s="20"/>
      <c r="H428" s="20"/>
      <c r="I428" s="20"/>
      <c r="J428" s="20"/>
      <c r="K428" s="20"/>
    </row>
    <row r="429" spans="1:11" x14ac:dyDescent="0.25">
      <c r="A429" s="20">
        <f t="shared" si="327"/>
        <v>1</v>
      </c>
      <c r="B429" s="20"/>
      <c r="C429" s="20"/>
      <c r="D429" s="20"/>
      <c r="E429" s="20"/>
      <c r="F429" s="20"/>
      <c r="G429" s="20"/>
      <c r="H429" s="20"/>
      <c r="I429" s="20"/>
      <c r="J429" s="20"/>
      <c r="K429" s="20"/>
    </row>
    <row r="430" spans="1:11" x14ac:dyDescent="0.25">
      <c r="A430" s="20">
        <f t="shared" si="327"/>
        <v>1</v>
      </c>
      <c r="B430" s="20"/>
      <c r="C430" s="20"/>
      <c r="D430" s="20"/>
      <c r="E430" s="20"/>
      <c r="F430" s="20"/>
      <c r="G430" s="20"/>
      <c r="H430" s="20"/>
      <c r="I430" s="20"/>
      <c r="J430" s="20"/>
      <c r="K430" s="20"/>
    </row>
    <row r="431" spans="1:11" x14ac:dyDescent="0.25">
      <c r="A431" s="20">
        <f t="shared" si="327"/>
        <v>1</v>
      </c>
      <c r="B431" s="20"/>
      <c r="C431" s="20"/>
      <c r="D431" s="20"/>
      <c r="E431" s="20"/>
      <c r="F431" s="20"/>
      <c r="G431" s="20"/>
      <c r="H431" s="20"/>
      <c r="I431" s="20"/>
      <c r="J431" s="20"/>
      <c r="K431" s="20"/>
    </row>
    <row r="432" spans="1:11" x14ac:dyDescent="0.25">
      <c r="A432" s="20">
        <f t="shared" si="327"/>
        <v>1</v>
      </c>
      <c r="B432" s="20"/>
      <c r="C432" s="20"/>
      <c r="D432" s="20"/>
      <c r="E432" s="20"/>
      <c r="F432" s="20"/>
      <c r="G432" s="20"/>
      <c r="H432" s="20"/>
      <c r="I432" s="20"/>
      <c r="J432" s="20"/>
      <c r="K432" s="20"/>
    </row>
    <row r="433" spans="1:11" x14ac:dyDescent="0.25">
      <c r="A433" s="20">
        <f t="shared" si="327"/>
        <v>1</v>
      </c>
      <c r="B433" s="20"/>
      <c r="C433" s="20"/>
      <c r="D433" s="20"/>
      <c r="E433" s="20"/>
      <c r="F433" s="20"/>
      <c r="G433" s="20"/>
      <c r="H433" s="20"/>
      <c r="I433" s="20"/>
      <c r="J433" s="20"/>
      <c r="K433" s="20"/>
    </row>
    <row r="434" spans="1:11" x14ac:dyDescent="0.25">
      <c r="A434" s="20">
        <f t="shared" si="327"/>
        <v>1</v>
      </c>
      <c r="B434" s="20"/>
      <c r="C434" s="20"/>
      <c r="D434" s="20"/>
      <c r="E434" s="20"/>
      <c r="F434" s="20"/>
      <c r="G434" s="20"/>
      <c r="H434" s="20"/>
      <c r="I434" s="20"/>
      <c r="J434" s="20"/>
      <c r="K434" s="20"/>
    </row>
    <row r="435" spans="1:11" x14ac:dyDescent="0.25">
      <c r="A435" s="20">
        <f t="shared" si="327"/>
        <v>1</v>
      </c>
      <c r="B435" s="20"/>
      <c r="C435" s="20"/>
      <c r="D435" s="20"/>
      <c r="E435" s="20"/>
      <c r="F435" s="20"/>
      <c r="G435" s="20"/>
      <c r="H435" s="20"/>
      <c r="I435" s="20"/>
      <c r="J435" s="20"/>
      <c r="K435" s="20"/>
    </row>
    <row r="436" spans="1:11" x14ac:dyDescent="0.25">
      <c r="A436" s="20">
        <f t="shared" si="327"/>
        <v>1</v>
      </c>
      <c r="B436" s="20"/>
      <c r="C436" s="20"/>
      <c r="D436" s="20"/>
      <c r="E436" s="20"/>
      <c r="F436" s="20"/>
      <c r="G436" s="20"/>
      <c r="H436" s="20"/>
      <c r="I436" s="20"/>
      <c r="J436" s="20"/>
      <c r="K436" s="20"/>
    </row>
    <row r="437" spans="1:11" x14ac:dyDescent="0.25">
      <c r="A437" s="20">
        <f t="shared" si="327"/>
        <v>1</v>
      </c>
      <c r="B437" s="20"/>
      <c r="C437" s="20"/>
      <c r="D437" s="20"/>
      <c r="E437" s="20"/>
      <c r="F437" s="20"/>
      <c r="G437" s="20"/>
      <c r="H437" s="20"/>
      <c r="I437" s="20"/>
      <c r="J437" s="20"/>
      <c r="K437" s="20"/>
    </row>
    <row r="438" spans="1:11" x14ac:dyDescent="0.25">
      <c r="A438" s="20">
        <f t="shared" si="327"/>
        <v>1</v>
      </c>
      <c r="B438" s="20"/>
      <c r="C438" s="20"/>
      <c r="D438" s="20"/>
      <c r="E438" s="20"/>
      <c r="F438" s="20"/>
      <c r="G438" s="20"/>
      <c r="H438" s="20"/>
      <c r="I438" s="20"/>
      <c r="J438" s="20"/>
      <c r="K438" s="20"/>
    </row>
    <row r="439" spans="1:11" x14ac:dyDescent="0.25">
      <c r="A439" s="20">
        <f t="shared" si="327"/>
        <v>1</v>
      </c>
      <c r="B439" s="20"/>
      <c r="C439" s="20"/>
      <c r="D439" s="20"/>
      <c r="E439" s="20"/>
      <c r="F439" s="20"/>
      <c r="G439" s="20"/>
      <c r="H439" s="20"/>
      <c r="I439" s="20"/>
      <c r="J439" s="20"/>
      <c r="K439" s="20"/>
    </row>
    <row r="440" spans="1:11" x14ac:dyDescent="0.25">
      <c r="A440" s="20">
        <f t="shared" si="327"/>
        <v>1</v>
      </c>
      <c r="B440" s="20"/>
      <c r="C440" s="20"/>
      <c r="D440" s="20"/>
      <c r="E440" s="20"/>
      <c r="F440" s="20"/>
      <c r="G440" s="20"/>
      <c r="H440" s="20"/>
      <c r="I440" s="20"/>
      <c r="J440" s="20"/>
      <c r="K440" s="20"/>
    </row>
    <row r="441" spans="1:11" x14ac:dyDescent="0.25">
      <c r="A441" s="20">
        <f t="shared" si="327"/>
        <v>1</v>
      </c>
      <c r="B441" s="20"/>
      <c r="C441" s="20"/>
      <c r="D441" s="20"/>
      <c r="E441" s="20"/>
      <c r="F441" s="20"/>
      <c r="G441" s="20"/>
      <c r="H441" s="20"/>
      <c r="I441" s="20"/>
      <c r="J441" s="20"/>
      <c r="K441" s="20"/>
    </row>
    <row r="442" spans="1:11" x14ac:dyDescent="0.25">
      <c r="A442" s="20">
        <f t="shared" si="327"/>
        <v>1</v>
      </c>
      <c r="B442" s="20"/>
      <c r="C442" s="20"/>
      <c r="D442" s="20"/>
      <c r="E442" s="20"/>
      <c r="F442" s="20"/>
      <c r="G442" s="20"/>
      <c r="H442" s="20"/>
      <c r="I442" s="20"/>
      <c r="J442" s="20"/>
      <c r="K442" s="20"/>
    </row>
    <row r="443" spans="1:11" x14ac:dyDescent="0.25">
      <c r="A443" s="20">
        <f t="shared" si="327"/>
        <v>1</v>
      </c>
      <c r="B443" s="20"/>
      <c r="C443" s="20"/>
      <c r="D443" s="20"/>
      <c r="E443" s="20"/>
      <c r="F443" s="20"/>
      <c r="G443" s="20"/>
      <c r="H443" s="20"/>
      <c r="I443" s="20"/>
      <c r="J443" s="20"/>
      <c r="K443" s="20"/>
    </row>
    <row r="444" spans="1:11" x14ac:dyDescent="0.25">
      <c r="A444" s="20">
        <f t="shared" si="327"/>
        <v>1</v>
      </c>
      <c r="B444" s="20"/>
      <c r="C444" s="20"/>
      <c r="D444" s="20"/>
      <c r="E444" s="20"/>
      <c r="F444" s="20"/>
      <c r="G444" s="20"/>
      <c r="H444" s="20"/>
      <c r="I444" s="20"/>
      <c r="J444" s="20"/>
      <c r="K444" s="20"/>
    </row>
    <row r="445" spans="1:11" x14ac:dyDescent="0.25">
      <c r="A445" s="20">
        <f t="shared" si="327"/>
        <v>1</v>
      </c>
      <c r="B445" s="20"/>
      <c r="C445" s="20"/>
      <c r="D445" s="20"/>
      <c r="E445" s="20"/>
      <c r="F445" s="20"/>
      <c r="G445" s="20"/>
      <c r="H445" s="20"/>
      <c r="I445" s="20"/>
      <c r="J445" s="20"/>
      <c r="K445" s="20"/>
    </row>
    <row r="446" spans="1:11" x14ac:dyDescent="0.25">
      <c r="A446" s="20">
        <f t="shared" si="327"/>
        <v>1</v>
      </c>
      <c r="B446" s="20"/>
      <c r="C446" s="20"/>
      <c r="D446" s="20"/>
      <c r="E446" s="20"/>
      <c r="F446" s="20"/>
      <c r="G446" s="20"/>
      <c r="H446" s="20"/>
      <c r="I446" s="20"/>
      <c r="J446" s="20"/>
      <c r="K446" s="20"/>
    </row>
    <row r="447" spans="1:11" x14ac:dyDescent="0.25">
      <c r="A447" s="20">
        <f t="shared" si="327"/>
        <v>1</v>
      </c>
      <c r="B447" s="20"/>
      <c r="C447" s="20"/>
      <c r="D447" s="20"/>
      <c r="E447" s="20"/>
      <c r="F447" s="20"/>
      <c r="G447" s="20"/>
      <c r="H447" s="20"/>
      <c r="I447" s="20"/>
      <c r="J447" s="20"/>
      <c r="K447" s="20"/>
    </row>
    <row r="448" spans="1:11" x14ac:dyDescent="0.25">
      <c r="A448" s="20">
        <f t="shared" si="327"/>
        <v>1</v>
      </c>
      <c r="B448" s="20"/>
      <c r="C448" s="20"/>
      <c r="D448" s="20"/>
      <c r="E448" s="20"/>
      <c r="F448" s="20"/>
      <c r="G448" s="20"/>
      <c r="H448" s="20"/>
      <c r="I448" s="20"/>
      <c r="J448" s="20"/>
      <c r="K448" s="20"/>
    </row>
    <row r="449" spans="1:11" x14ac:dyDescent="0.25">
      <c r="A449" s="20">
        <f t="shared" si="327"/>
        <v>1</v>
      </c>
      <c r="B449" s="20"/>
      <c r="C449" s="20"/>
      <c r="D449" s="20"/>
      <c r="E449" s="20"/>
      <c r="F449" s="20"/>
      <c r="G449" s="20"/>
      <c r="H449" s="20"/>
      <c r="I449" s="20"/>
      <c r="J449" s="20"/>
      <c r="K449" s="20"/>
    </row>
    <row r="450" spans="1:11" x14ac:dyDescent="0.25">
      <c r="A450" s="20">
        <f t="shared" ref="A450:A500" si="328">IF(F450&lt;&gt;F449,IF(A449=0,1,0),A449)</f>
        <v>1</v>
      </c>
      <c r="B450" s="20"/>
      <c r="C450" s="20"/>
      <c r="D450" s="20"/>
      <c r="E450" s="20"/>
      <c r="F450" s="20"/>
      <c r="G450" s="20"/>
      <c r="H450" s="20"/>
      <c r="I450" s="20"/>
      <c r="J450" s="20"/>
      <c r="K450" s="20"/>
    </row>
    <row r="451" spans="1:11" x14ac:dyDescent="0.25">
      <c r="A451" s="20">
        <f t="shared" si="328"/>
        <v>1</v>
      </c>
      <c r="B451" s="20"/>
      <c r="C451" s="20"/>
      <c r="D451" s="20"/>
      <c r="E451" s="20"/>
      <c r="F451" s="20"/>
      <c r="G451" s="20"/>
      <c r="H451" s="20"/>
      <c r="I451" s="20"/>
      <c r="J451" s="20"/>
      <c r="K451" s="20"/>
    </row>
    <row r="452" spans="1:11" x14ac:dyDescent="0.25">
      <c r="A452" s="20">
        <f t="shared" si="328"/>
        <v>1</v>
      </c>
      <c r="B452" s="20"/>
      <c r="C452" s="20"/>
      <c r="D452" s="20"/>
      <c r="E452" s="20"/>
      <c r="F452" s="20"/>
      <c r="G452" s="20"/>
      <c r="H452" s="20"/>
      <c r="I452" s="20"/>
      <c r="J452" s="20"/>
      <c r="K452" s="20"/>
    </row>
    <row r="453" spans="1:11" x14ac:dyDescent="0.25">
      <c r="A453" s="20">
        <f t="shared" si="328"/>
        <v>1</v>
      </c>
      <c r="B453" s="20"/>
      <c r="C453" s="20"/>
      <c r="D453" s="20"/>
      <c r="E453" s="20"/>
      <c r="F453" s="20"/>
      <c r="G453" s="20"/>
      <c r="H453" s="20"/>
      <c r="I453" s="20"/>
      <c r="J453" s="20"/>
      <c r="K453" s="20"/>
    </row>
    <row r="454" spans="1:11" x14ac:dyDescent="0.25">
      <c r="A454" s="20">
        <f t="shared" si="328"/>
        <v>1</v>
      </c>
      <c r="B454" s="20"/>
      <c r="C454" s="20"/>
      <c r="D454" s="20"/>
      <c r="E454" s="20"/>
      <c r="F454" s="20"/>
      <c r="G454" s="20"/>
      <c r="H454" s="20"/>
      <c r="I454" s="20"/>
      <c r="J454" s="20"/>
      <c r="K454" s="20"/>
    </row>
    <row r="455" spans="1:11" x14ac:dyDescent="0.25">
      <c r="A455" s="20">
        <f t="shared" si="328"/>
        <v>1</v>
      </c>
      <c r="B455" s="20"/>
      <c r="C455" s="20"/>
      <c r="D455" s="20"/>
      <c r="E455" s="20"/>
      <c r="F455" s="20"/>
      <c r="G455" s="20"/>
      <c r="H455" s="20"/>
      <c r="I455" s="20"/>
      <c r="J455" s="20"/>
      <c r="K455" s="20"/>
    </row>
    <row r="456" spans="1:11" x14ac:dyDescent="0.25">
      <c r="A456" s="20">
        <f t="shared" si="328"/>
        <v>1</v>
      </c>
      <c r="B456" s="20"/>
      <c r="C456" s="20"/>
      <c r="D456" s="20"/>
      <c r="E456" s="20"/>
      <c r="F456" s="20"/>
      <c r="G456" s="20"/>
      <c r="H456" s="20"/>
      <c r="I456" s="20"/>
      <c r="J456" s="20"/>
      <c r="K456" s="20"/>
    </row>
    <row r="457" spans="1:11" x14ac:dyDescent="0.25">
      <c r="A457" s="20">
        <f t="shared" si="328"/>
        <v>1</v>
      </c>
      <c r="B457" s="20"/>
      <c r="C457" s="20"/>
      <c r="D457" s="20"/>
      <c r="E457" s="20"/>
      <c r="F457" s="20"/>
      <c r="G457" s="20"/>
      <c r="H457" s="20"/>
      <c r="I457" s="20"/>
      <c r="J457" s="20"/>
      <c r="K457" s="20"/>
    </row>
    <row r="458" spans="1:11" x14ac:dyDescent="0.25">
      <c r="A458" s="20">
        <f t="shared" si="328"/>
        <v>1</v>
      </c>
      <c r="B458" s="20"/>
      <c r="C458" s="20"/>
      <c r="D458" s="20"/>
      <c r="E458" s="20"/>
      <c r="F458" s="20"/>
      <c r="G458" s="20"/>
      <c r="H458" s="20"/>
      <c r="I458" s="20"/>
      <c r="J458" s="20"/>
      <c r="K458" s="20"/>
    </row>
    <row r="459" spans="1:11" x14ac:dyDescent="0.25">
      <c r="A459" s="20">
        <f t="shared" si="328"/>
        <v>1</v>
      </c>
      <c r="B459" s="20"/>
      <c r="C459" s="20"/>
      <c r="D459" s="20"/>
      <c r="E459" s="20"/>
      <c r="F459" s="20"/>
      <c r="G459" s="20"/>
      <c r="H459" s="20"/>
      <c r="I459" s="20"/>
      <c r="J459" s="20"/>
      <c r="K459" s="20"/>
    </row>
    <row r="460" spans="1:11" x14ac:dyDescent="0.25">
      <c r="A460" s="20">
        <f t="shared" si="328"/>
        <v>1</v>
      </c>
      <c r="B460" s="20"/>
      <c r="C460" s="20"/>
      <c r="D460" s="20"/>
      <c r="E460" s="20"/>
      <c r="F460" s="20"/>
      <c r="G460" s="20"/>
      <c r="H460" s="20"/>
      <c r="I460" s="20"/>
      <c r="J460" s="20"/>
      <c r="K460" s="20"/>
    </row>
    <row r="461" spans="1:11" x14ac:dyDescent="0.25">
      <c r="A461" s="20">
        <f t="shared" si="328"/>
        <v>1</v>
      </c>
      <c r="B461" s="20"/>
      <c r="C461" s="20"/>
      <c r="D461" s="20"/>
      <c r="E461" s="20"/>
      <c r="F461" s="20"/>
      <c r="G461" s="20"/>
      <c r="H461" s="20"/>
      <c r="I461" s="20"/>
      <c r="J461" s="20"/>
      <c r="K461" s="20"/>
    </row>
    <row r="462" spans="1:11" x14ac:dyDescent="0.25">
      <c r="A462" s="20">
        <f t="shared" si="328"/>
        <v>1</v>
      </c>
      <c r="B462" s="20"/>
      <c r="C462" s="20"/>
      <c r="D462" s="20"/>
      <c r="E462" s="20"/>
      <c r="F462" s="20"/>
      <c r="G462" s="20"/>
      <c r="H462" s="20"/>
      <c r="I462" s="20"/>
      <c r="J462" s="20"/>
      <c r="K462" s="20"/>
    </row>
    <row r="463" spans="1:11" x14ac:dyDescent="0.25">
      <c r="A463" s="20">
        <f t="shared" si="328"/>
        <v>1</v>
      </c>
      <c r="B463" s="20"/>
      <c r="C463" s="20"/>
      <c r="D463" s="20"/>
      <c r="E463" s="20"/>
      <c r="F463" s="20"/>
      <c r="G463" s="20"/>
      <c r="H463" s="20"/>
      <c r="I463" s="20"/>
      <c r="J463" s="20"/>
      <c r="K463" s="20"/>
    </row>
    <row r="464" spans="1:11" x14ac:dyDescent="0.25">
      <c r="A464" s="20">
        <f t="shared" si="328"/>
        <v>1</v>
      </c>
      <c r="B464" s="20"/>
      <c r="C464" s="20"/>
      <c r="D464" s="20"/>
      <c r="E464" s="20"/>
      <c r="F464" s="20"/>
      <c r="G464" s="20"/>
      <c r="H464" s="20"/>
      <c r="I464" s="20"/>
      <c r="J464" s="20"/>
      <c r="K464" s="20"/>
    </row>
    <row r="465" spans="1:11" x14ac:dyDescent="0.25">
      <c r="A465" s="20">
        <f t="shared" si="328"/>
        <v>1</v>
      </c>
      <c r="B465" s="20"/>
      <c r="C465" s="20"/>
      <c r="D465" s="20"/>
      <c r="E465" s="20"/>
      <c r="F465" s="20"/>
      <c r="G465" s="20"/>
      <c r="H465" s="20"/>
      <c r="I465" s="20"/>
      <c r="J465" s="20"/>
      <c r="K465" s="20"/>
    </row>
    <row r="466" spans="1:11" x14ac:dyDescent="0.25">
      <c r="A466" s="20">
        <f t="shared" si="328"/>
        <v>1</v>
      </c>
      <c r="B466" s="20"/>
      <c r="C466" s="20"/>
      <c r="D466" s="20"/>
      <c r="E466" s="20"/>
      <c r="F466" s="20"/>
      <c r="G466" s="20"/>
      <c r="H466" s="20"/>
      <c r="I466" s="20"/>
      <c r="J466" s="20"/>
      <c r="K466" s="20"/>
    </row>
    <row r="467" spans="1:11" x14ac:dyDescent="0.25">
      <c r="A467" s="20">
        <f t="shared" si="328"/>
        <v>1</v>
      </c>
      <c r="B467" s="20"/>
      <c r="C467" s="20"/>
      <c r="D467" s="20"/>
      <c r="E467" s="20"/>
      <c r="F467" s="20"/>
      <c r="G467" s="20"/>
      <c r="H467" s="20"/>
      <c r="I467" s="20"/>
      <c r="J467" s="20"/>
      <c r="K467" s="20"/>
    </row>
    <row r="468" spans="1:11" x14ac:dyDescent="0.25">
      <c r="A468" s="20">
        <f t="shared" si="328"/>
        <v>1</v>
      </c>
      <c r="B468" s="20"/>
      <c r="C468" s="20"/>
      <c r="D468" s="20"/>
      <c r="E468" s="20"/>
      <c r="F468" s="20"/>
      <c r="G468" s="20"/>
      <c r="H468" s="20"/>
      <c r="I468" s="20"/>
      <c r="J468" s="20"/>
      <c r="K468" s="20"/>
    </row>
    <row r="469" spans="1:11" x14ac:dyDescent="0.25">
      <c r="A469" s="20">
        <f t="shared" si="328"/>
        <v>1</v>
      </c>
      <c r="B469" s="20"/>
      <c r="C469" s="20"/>
      <c r="D469" s="20"/>
      <c r="E469" s="20"/>
      <c r="F469" s="20"/>
      <c r="G469" s="20"/>
      <c r="H469" s="20"/>
      <c r="I469" s="20"/>
      <c r="J469" s="20"/>
      <c r="K469" s="20"/>
    </row>
    <row r="470" spans="1:11" x14ac:dyDescent="0.25">
      <c r="A470" s="20">
        <f t="shared" si="328"/>
        <v>1</v>
      </c>
      <c r="B470" s="20"/>
      <c r="C470" s="20"/>
      <c r="D470" s="20"/>
      <c r="E470" s="20"/>
      <c r="F470" s="20"/>
      <c r="G470" s="20"/>
      <c r="H470" s="20"/>
      <c r="I470" s="20"/>
      <c r="J470" s="20"/>
      <c r="K470" s="20"/>
    </row>
    <row r="471" spans="1:11" x14ac:dyDescent="0.25">
      <c r="A471" s="20">
        <f t="shared" si="328"/>
        <v>1</v>
      </c>
      <c r="B471" s="20"/>
      <c r="C471" s="20"/>
      <c r="D471" s="20"/>
      <c r="E471" s="20"/>
      <c r="F471" s="20"/>
      <c r="G471" s="20"/>
      <c r="H471" s="20"/>
      <c r="I471" s="20"/>
      <c r="J471" s="20"/>
      <c r="K471" s="20"/>
    </row>
    <row r="472" spans="1:11" x14ac:dyDescent="0.25">
      <c r="A472" s="20">
        <f t="shared" si="328"/>
        <v>1</v>
      </c>
      <c r="B472" s="20"/>
      <c r="C472" s="20"/>
      <c r="D472" s="20"/>
      <c r="E472" s="20"/>
      <c r="F472" s="20"/>
      <c r="G472" s="20"/>
      <c r="H472" s="20"/>
      <c r="I472" s="20"/>
      <c r="J472" s="20"/>
      <c r="K472" s="20"/>
    </row>
    <row r="473" spans="1:11" x14ac:dyDescent="0.25">
      <c r="A473" s="20">
        <f t="shared" si="328"/>
        <v>1</v>
      </c>
      <c r="B473" s="20"/>
      <c r="C473" s="20"/>
      <c r="D473" s="20"/>
      <c r="E473" s="20"/>
      <c r="F473" s="20"/>
      <c r="G473" s="20"/>
      <c r="H473" s="20"/>
      <c r="I473" s="20"/>
      <c r="J473" s="20"/>
      <c r="K473" s="20"/>
    </row>
    <row r="474" spans="1:11" x14ac:dyDescent="0.25">
      <c r="A474" s="20">
        <f t="shared" si="328"/>
        <v>1</v>
      </c>
      <c r="B474" s="20"/>
      <c r="C474" s="20"/>
      <c r="D474" s="20"/>
      <c r="E474" s="20"/>
      <c r="F474" s="20"/>
      <c r="G474" s="20"/>
      <c r="H474" s="20"/>
      <c r="I474" s="20"/>
      <c r="J474" s="20"/>
      <c r="K474" s="20"/>
    </row>
    <row r="475" spans="1:11" x14ac:dyDescent="0.25">
      <c r="A475" s="20">
        <f t="shared" si="328"/>
        <v>1</v>
      </c>
      <c r="B475" s="20"/>
      <c r="C475" s="20"/>
      <c r="D475" s="20"/>
      <c r="E475" s="20"/>
      <c r="F475" s="20"/>
      <c r="G475" s="20"/>
      <c r="H475" s="20"/>
      <c r="I475" s="20"/>
      <c r="J475" s="20"/>
      <c r="K475" s="20"/>
    </row>
    <row r="476" spans="1:11" x14ac:dyDescent="0.25">
      <c r="A476" s="20">
        <f t="shared" si="328"/>
        <v>1</v>
      </c>
      <c r="B476" s="20"/>
      <c r="C476" s="20"/>
      <c r="D476" s="20"/>
      <c r="E476" s="20"/>
      <c r="F476" s="20"/>
      <c r="G476" s="20"/>
      <c r="H476" s="20"/>
      <c r="I476" s="20"/>
      <c r="J476" s="20"/>
      <c r="K476" s="20"/>
    </row>
    <row r="477" spans="1:11" x14ac:dyDescent="0.25">
      <c r="A477" s="20">
        <f t="shared" si="328"/>
        <v>1</v>
      </c>
      <c r="B477" s="20"/>
      <c r="C477" s="20"/>
      <c r="D477" s="20"/>
      <c r="E477" s="20"/>
      <c r="F477" s="20"/>
      <c r="G477" s="20"/>
      <c r="H477" s="20"/>
      <c r="I477" s="20"/>
      <c r="J477" s="20"/>
      <c r="K477" s="20"/>
    </row>
    <row r="478" spans="1:11" x14ac:dyDescent="0.25">
      <c r="A478" s="20">
        <f t="shared" si="328"/>
        <v>1</v>
      </c>
      <c r="B478" s="20"/>
      <c r="C478" s="20"/>
      <c r="D478" s="20"/>
      <c r="E478" s="20"/>
      <c r="F478" s="20"/>
      <c r="G478" s="20"/>
      <c r="H478" s="20"/>
      <c r="I478" s="20"/>
      <c r="J478" s="20"/>
      <c r="K478" s="20"/>
    </row>
    <row r="479" spans="1:11" x14ac:dyDescent="0.25">
      <c r="A479" s="20">
        <f t="shared" si="328"/>
        <v>1</v>
      </c>
      <c r="B479" s="20"/>
      <c r="C479" s="20"/>
      <c r="D479" s="20"/>
      <c r="E479" s="20"/>
      <c r="F479" s="20"/>
      <c r="G479" s="20"/>
      <c r="H479" s="20"/>
      <c r="I479" s="20"/>
      <c r="J479" s="20"/>
      <c r="K479" s="20"/>
    </row>
    <row r="480" spans="1:11" x14ac:dyDescent="0.25">
      <c r="A480" s="20">
        <f t="shared" si="328"/>
        <v>1</v>
      </c>
      <c r="B480" s="20"/>
      <c r="C480" s="20"/>
      <c r="D480" s="20"/>
      <c r="E480" s="20"/>
      <c r="F480" s="20"/>
      <c r="G480" s="20"/>
      <c r="H480" s="20"/>
      <c r="I480" s="20"/>
      <c r="J480" s="20"/>
      <c r="K480" s="20"/>
    </row>
    <row r="481" spans="1:11" x14ac:dyDescent="0.25">
      <c r="A481" s="20">
        <f t="shared" si="328"/>
        <v>1</v>
      </c>
      <c r="B481" s="20"/>
      <c r="C481" s="20"/>
      <c r="D481" s="20"/>
      <c r="E481" s="20"/>
      <c r="F481" s="20"/>
      <c r="G481" s="20"/>
      <c r="H481" s="20"/>
      <c r="I481" s="20"/>
      <c r="J481" s="20"/>
      <c r="K481" s="20"/>
    </row>
    <row r="482" spans="1:11" x14ac:dyDescent="0.25">
      <c r="A482" s="20">
        <f t="shared" si="328"/>
        <v>1</v>
      </c>
      <c r="B482" s="20"/>
      <c r="C482" s="20"/>
      <c r="D482" s="20"/>
      <c r="E482" s="20"/>
      <c r="F482" s="20"/>
      <c r="G482" s="20"/>
      <c r="H482" s="20"/>
      <c r="I482" s="20"/>
      <c r="J482" s="20"/>
      <c r="K482" s="20"/>
    </row>
    <row r="483" spans="1:11" x14ac:dyDescent="0.25">
      <c r="A483" s="20">
        <f t="shared" si="328"/>
        <v>1</v>
      </c>
      <c r="B483" s="20"/>
      <c r="C483" s="20"/>
      <c r="D483" s="20"/>
      <c r="E483" s="20"/>
      <c r="F483" s="20"/>
      <c r="G483" s="20"/>
      <c r="H483" s="20"/>
      <c r="I483" s="20"/>
      <c r="J483" s="20"/>
      <c r="K483" s="20"/>
    </row>
    <row r="484" spans="1:11" x14ac:dyDescent="0.25">
      <c r="A484" s="20">
        <f t="shared" si="328"/>
        <v>1</v>
      </c>
      <c r="B484" s="20"/>
      <c r="C484" s="20"/>
      <c r="D484" s="20"/>
      <c r="E484" s="20"/>
      <c r="F484" s="20"/>
      <c r="G484" s="20"/>
      <c r="H484" s="20"/>
      <c r="I484" s="20"/>
      <c r="J484" s="20"/>
      <c r="K484" s="20"/>
    </row>
    <row r="485" spans="1:11" x14ac:dyDescent="0.25">
      <c r="A485" s="20">
        <f t="shared" si="328"/>
        <v>1</v>
      </c>
      <c r="B485" s="20"/>
      <c r="C485" s="20"/>
      <c r="D485" s="20"/>
      <c r="E485" s="20"/>
      <c r="F485" s="20"/>
      <c r="G485" s="20"/>
      <c r="H485" s="20"/>
      <c r="I485" s="20"/>
      <c r="J485" s="20"/>
      <c r="K485" s="20"/>
    </row>
    <row r="486" spans="1:11" x14ac:dyDescent="0.25">
      <c r="A486" s="20">
        <f t="shared" si="328"/>
        <v>1</v>
      </c>
      <c r="B486" s="20"/>
      <c r="C486" s="20"/>
      <c r="D486" s="20"/>
      <c r="E486" s="20"/>
      <c r="F486" s="20"/>
      <c r="G486" s="20"/>
      <c r="H486" s="20"/>
      <c r="I486" s="20"/>
      <c r="J486" s="20"/>
      <c r="K486" s="20"/>
    </row>
    <row r="487" spans="1:11" x14ac:dyDescent="0.25">
      <c r="A487" s="20">
        <f t="shared" si="328"/>
        <v>1</v>
      </c>
      <c r="B487" s="20"/>
      <c r="C487" s="20"/>
      <c r="D487" s="20"/>
      <c r="E487" s="20"/>
      <c r="F487" s="20"/>
      <c r="G487" s="20"/>
      <c r="H487" s="20"/>
      <c r="I487" s="20"/>
      <c r="J487" s="20"/>
      <c r="K487" s="20"/>
    </row>
    <row r="488" spans="1:11" x14ac:dyDescent="0.25">
      <c r="A488" s="20">
        <f t="shared" si="328"/>
        <v>1</v>
      </c>
      <c r="B488" s="20"/>
      <c r="C488" s="20"/>
      <c r="D488" s="20"/>
      <c r="E488" s="20"/>
      <c r="F488" s="20"/>
      <c r="G488" s="20"/>
      <c r="H488" s="20"/>
      <c r="I488" s="20"/>
      <c r="J488" s="20"/>
      <c r="K488" s="20"/>
    </row>
    <row r="489" spans="1:11" x14ac:dyDescent="0.25">
      <c r="A489" s="20">
        <f t="shared" si="328"/>
        <v>1</v>
      </c>
      <c r="B489" s="20"/>
      <c r="C489" s="20"/>
      <c r="D489" s="20"/>
      <c r="E489" s="20"/>
      <c r="F489" s="20"/>
      <c r="G489" s="20"/>
      <c r="H489" s="20"/>
      <c r="I489" s="20"/>
      <c r="J489" s="20"/>
      <c r="K489" s="20"/>
    </row>
    <row r="490" spans="1:11" x14ac:dyDescent="0.25">
      <c r="A490" s="20">
        <f t="shared" si="328"/>
        <v>1</v>
      </c>
      <c r="B490" s="20"/>
      <c r="C490" s="20"/>
      <c r="D490" s="20"/>
      <c r="E490" s="20"/>
      <c r="F490" s="20"/>
      <c r="G490" s="20"/>
      <c r="H490" s="20"/>
      <c r="I490" s="20"/>
      <c r="J490" s="20"/>
      <c r="K490" s="20"/>
    </row>
    <row r="491" spans="1:11" x14ac:dyDescent="0.25">
      <c r="A491" s="20">
        <f t="shared" si="328"/>
        <v>1</v>
      </c>
      <c r="B491" s="20"/>
      <c r="C491" s="20"/>
      <c r="D491" s="20"/>
      <c r="E491" s="20"/>
      <c r="F491" s="20"/>
      <c r="G491" s="20"/>
      <c r="H491" s="20"/>
      <c r="I491" s="20"/>
      <c r="J491" s="20"/>
      <c r="K491" s="20"/>
    </row>
    <row r="492" spans="1:11" x14ac:dyDescent="0.25">
      <c r="A492" s="20">
        <f t="shared" si="328"/>
        <v>1</v>
      </c>
      <c r="B492" s="20"/>
      <c r="C492" s="20"/>
      <c r="D492" s="20"/>
      <c r="E492" s="20"/>
      <c r="F492" s="20"/>
      <c r="G492" s="20"/>
      <c r="H492" s="20"/>
      <c r="I492" s="20"/>
      <c r="J492" s="20"/>
      <c r="K492" s="20"/>
    </row>
    <row r="493" spans="1:11" x14ac:dyDescent="0.25">
      <c r="A493" s="20">
        <f t="shared" si="328"/>
        <v>1</v>
      </c>
      <c r="B493" s="20"/>
      <c r="C493" s="20"/>
      <c r="D493" s="20"/>
      <c r="E493" s="20"/>
      <c r="F493" s="20"/>
      <c r="G493" s="20"/>
      <c r="H493" s="20"/>
      <c r="I493" s="20"/>
      <c r="J493" s="20"/>
      <c r="K493" s="20"/>
    </row>
    <row r="494" spans="1:11" x14ac:dyDescent="0.25">
      <c r="A494" s="20">
        <f t="shared" si="328"/>
        <v>1</v>
      </c>
      <c r="B494" s="20"/>
      <c r="C494" s="20"/>
      <c r="D494" s="20"/>
      <c r="E494" s="20"/>
      <c r="F494" s="20"/>
      <c r="G494" s="20"/>
      <c r="H494" s="20"/>
      <c r="I494" s="20"/>
      <c r="J494" s="20"/>
      <c r="K494" s="20"/>
    </row>
    <row r="495" spans="1:11" x14ac:dyDescent="0.25">
      <c r="A495" s="20">
        <f t="shared" si="328"/>
        <v>1</v>
      </c>
      <c r="B495" s="20"/>
      <c r="C495" s="20"/>
      <c r="D495" s="20"/>
      <c r="E495" s="20"/>
      <c r="F495" s="20"/>
      <c r="G495" s="20"/>
      <c r="H495" s="20"/>
      <c r="I495" s="20"/>
      <c r="J495" s="20"/>
      <c r="K495" s="20"/>
    </row>
    <row r="496" spans="1:11" x14ac:dyDescent="0.25">
      <c r="A496" s="20">
        <f t="shared" si="328"/>
        <v>1</v>
      </c>
      <c r="B496" s="20"/>
      <c r="C496" s="20"/>
      <c r="D496" s="20"/>
      <c r="E496" s="20"/>
      <c r="F496" s="20"/>
      <c r="G496" s="20"/>
      <c r="H496" s="20"/>
      <c r="I496" s="20"/>
      <c r="J496" s="20"/>
      <c r="K496" s="20"/>
    </row>
    <row r="497" spans="1:11" x14ac:dyDescent="0.25">
      <c r="A497" s="20">
        <f t="shared" si="328"/>
        <v>1</v>
      </c>
      <c r="B497" s="20"/>
      <c r="C497" s="20"/>
      <c r="D497" s="20"/>
      <c r="E497" s="20"/>
      <c r="F497" s="20"/>
      <c r="G497" s="20"/>
      <c r="H497" s="20"/>
      <c r="I497" s="20"/>
      <c r="J497" s="20"/>
      <c r="K497" s="20"/>
    </row>
    <row r="498" spans="1:11" x14ac:dyDescent="0.25">
      <c r="A498" s="20">
        <f t="shared" si="328"/>
        <v>1</v>
      </c>
      <c r="B498" s="20"/>
      <c r="C498" s="20"/>
      <c r="D498" s="20"/>
      <c r="E498" s="20"/>
      <c r="F498" s="20"/>
      <c r="G498" s="20"/>
      <c r="H498" s="20"/>
      <c r="I498" s="20"/>
      <c r="J498" s="20"/>
      <c r="K498" s="20"/>
    </row>
    <row r="499" spans="1:11" x14ac:dyDescent="0.25">
      <c r="A499" s="20">
        <f t="shared" si="328"/>
        <v>1</v>
      </c>
      <c r="B499" s="20"/>
      <c r="C499" s="20"/>
      <c r="D499" s="20"/>
      <c r="E499" s="20"/>
      <c r="F499" s="20"/>
      <c r="G499" s="20"/>
      <c r="H499" s="20"/>
      <c r="I499" s="20"/>
      <c r="J499" s="20"/>
      <c r="K499" s="20"/>
    </row>
    <row r="500" spans="1:11" x14ac:dyDescent="0.25">
      <c r="A500" s="20">
        <f t="shared" si="328"/>
        <v>1</v>
      </c>
      <c r="B500" s="20"/>
      <c r="C500" s="20"/>
      <c r="D500" s="20"/>
      <c r="E500" s="20"/>
      <c r="F500" s="20"/>
      <c r="G500" s="20"/>
      <c r="H500" s="20"/>
      <c r="I500" s="20"/>
      <c r="J500" s="20"/>
      <c r="K500" s="20"/>
    </row>
    <row r="501" spans="1:11" x14ac:dyDescent="0.25">
      <c r="A501" s="20">
        <f t="shared" ref="A501" si="329">IF(F501&lt;&gt;F500,IF(A500=0,1,0),A500)</f>
        <v>1</v>
      </c>
      <c r="B501" s="20"/>
      <c r="C501" s="20"/>
      <c r="D501" s="20"/>
      <c r="E501" s="20"/>
      <c r="F501" s="20"/>
      <c r="G501" s="20"/>
      <c r="H501" s="20"/>
      <c r="I501" s="20"/>
      <c r="J501" s="20"/>
      <c r="K501" s="20"/>
    </row>
    <row r="502" spans="1:11" x14ac:dyDescent="0.25">
      <c r="A502" s="20">
        <f t="shared" ref="A502" si="330">IF(F502&lt;&gt;F501,IF(A501=0,1,0),A501)</f>
        <v>1</v>
      </c>
      <c r="B502" s="20"/>
      <c r="C502" s="20"/>
      <c r="D502" s="20"/>
      <c r="E502" s="20"/>
      <c r="F502" s="20"/>
      <c r="G502" s="20"/>
      <c r="H502" s="20"/>
      <c r="I502" s="20"/>
      <c r="J502" s="20"/>
      <c r="K502" s="20"/>
    </row>
    <row r="503" spans="1:11" x14ac:dyDescent="0.25">
      <c r="A503" s="20">
        <f t="shared" ref="A503" si="331">IF(F503&lt;&gt;F502,IF(A502=0,1,0),A502)</f>
        <v>1</v>
      </c>
      <c r="B503" s="20"/>
      <c r="C503" s="20"/>
      <c r="D503" s="20"/>
      <c r="E503" s="20"/>
      <c r="F503" s="20"/>
      <c r="G503" s="20"/>
      <c r="H503" s="20"/>
      <c r="I503" s="20"/>
      <c r="J503" s="20"/>
      <c r="K503" s="20"/>
    </row>
    <row r="504" spans="1:11" x14ac:dyDescent="0.25">
      <c r="A504" s="20">
        <f t="shared" ref="A504" si="332">IF(F504&lt;&gt;F503,IF(A503=0,1,0),A503)</f>
        <v>1</v>
      </c>
      <c r="B504" s="20"/>
      <c r="C504" s="20"/>
      <c r="D504" s="20"/>
      <c r="E504" s="20"/>
      <c r="F504" s="20"/>
      <c r="G504" s="20"/>
      <c r="H504" s="20"/>
      <c r="I504" s="20"/>
      <c r="J504" s="20"/>
      <c r="K504" s="20"/>
    </row>
    <row r="505" spans="1:11" x14ac:dyDescent="0.25">
      <c r="A505" s="20">
        <f t="shared" ref="A505" si="333">IF(F505&lt;&gt;F504,IF(A504=0,1,0),A504)</f>
        <v>1</v>
      </c>
      <c r="B505" s="20"/>
      <c r="C505" s="20"/>
      <c r="D505" s="20"/>
      <c r="E505" s="20"/>
      <c r="F505" s="20"/>
      <c r="G505" s="20"/>
      <c r="H505" s="20"/>
      <c r="I505" s="20"/>
      <c r="J505" s="20"/>
      <c r="K505" s="20"/>
    </row>
    <row r="506" spans="1:11" x14ac:dyDescent="0.25">
      <c r="A506" s="20">
        <f t="shared" ref="A506" si="334">IF(F506&lt;&gt;F505,IF(A505=0,1,0),A505)</f>
        <v>1</v>
      </c>
      <c r="B506" s="20"/>
      <c r="C506" s="20"/>
      <c r="D506" s="20"/>
      <c r="E506" s="20"/>
      <c r="F506" s="20"/>
      <c r="G506" s="20"/>
      <c r="H506" s="20"/>
      <c r="I506" s="20"/>
      <c r="J506" s="20"/>
      <c r="K506" s="20"/>
    </row>
    <row r="507" spans="1:11" x14ac:dyDescent="0.25">
      <c r="A507" s="20">
        <f t="shared" ref="A507" si="335">IF(F507&lt;&gt;F506,IF(A506=0,1,0),A506)</f>
        <v>1</v>
      </c>
      <c r="B507" s="20"/>
      <c r="C507" s="20"/>
      <c r="D507" s="20"/>
      <c r="E507" s="20"/>
      <c r="F507" s="20"/>
      <c r="G507" s="20"/>
      <c r="H507" s="20"/>
      <c r="I507" s="20"/>
      <c r="J507" s="20"/>
      <c r="K507" s="20"/>
    </row>
    <row r="508" spans="1:11" x14ac:dyDescent="0.25">
      <c r="A508" s="20">
        <f t="shared" ref="A508" si="336">IF(F508&lt;&gt;F507,IF(A507=0,1,0),A507)</f>
        <v>1</v>
      </c>
      <c r="B508" s="20"/>
      <c r="C508" s="20"/>
      <c r="D508" s="20"/>
      <c r="E508" s="20"/>
      <c r="F508" s="20"/>
      <c r="G508" s="20"/>
      <c r="H508" s="20"/>
      <c r="I508" s="20"/>
      <c r="J508" s="20"/>
      <c r="K508" s="20"/>
    </row>
    <row r="509" spans="1:11" x14ac:dyDescent="0.25">
      <c r="A509" s="20">
        <f t="shared" ref="A509" si="337">IF(F509&lt;&gt;F508,IF(A508=0,1,0),A508)</f>
        <v>1</v>
      </c>
      <c r="B509" s="20"/>
      <c r="C509" s="20"/>
      <c r="D509" s="20"/>
      <c r="E509" s="20"/>
      <c r="F509" s="20"/>
      <c r="G509" s="20"/>
      <c r="H509" s="20"/>
      <c r="I509" s="20"/>
      <c r="J509" s="20"/>
      <c r="K509" s="20"/>
    </row>
    <row r="510" spans="1:11" x14ac:dyDescent="0.25">
      <c r="A510" s="20">
        <f t="shared" ref="A510" si="338">IF(F510&lt;&gt;F509,IF(A509=0,1,0),A509)</f>
        <v>1</v>
      </c>
      <c r="B510" s="20"/>
      <c r="C510" s="20"/>
      <c r="D510" s="20"/>
      <c r="E510" s="20"/>
      <c r="F510" s="20"/>
      <c r="G510" s="20"/>
      <c r="H510" s="20"/>
      <c r="I510" s="20"/>
      <c r="J510" s="20"/>
      <c r="K510" s="20"/>
    </row>
    <row r="511" spans="1:11" x14ac:dyDescent="0.25">
      <c r="A511" s="20">
        <f t="shared" ref="A511" si="339">IF(F511&lt;&gt;F510,IF(A510=0,1,0),A510)</f>
        <v>1</v>
      </c>
      <c r="B511" s="20"/>
      <c r="C511" s="20"/>
      <c r="D511" s="20"/>
      <c r="E511" s="20"/>
      <c r="F511" s="20"/>
      <c r="G511" s="20"/>
      <c r="H511" s="20"/>
      <c r="I511" s="20"/>
      <c r="J511" s="20"/>
      <c r="K511" s="20"/>
    </row>
    <row r="512" spans="1:11" x14ac:dyDescent="0.25">
      <c r="A512" s="20">
        <f t="shared" ref="A512" si="340">IF(F512&lt;&gt;F511,IF(A511=0,1,0),A511)</f>
        <v>1</v>
      </c>
      <c r="B512" s="20"/>
      <c r="C512" s="20"/>
      <c r="D512" s="20"/>
      <c r="E512" s="20"/>
      <c r="F512" s="20"/>
      <c r="G512" s="20"/>
      <c r="H512" s="20"/>
      <c r="I512" s="20"/>
      <c r="J512" s="20"/>
      <c r="K512" s="20"/>
    </row>
    <row r="513" spans="1:11" x14ac:dyDescent="0.25">
      <c r="A513" s="20">
        <f t="shared" ref="A513" si="341">IF(F513&lt;&gt;F512,IF(A512=0,1,0),A512)</f>
        <v>1</v>
      </c>
      <c r="B513" s="20"/>
      <c r="C513" s="20"/>
      <c r="D513" s="20"/>
      <c r="E513" s="20"/>
      <c r="F513" s="20"/>
      <c r="G513" s="20"/>
      <c r="H513" s="20"/>
      <c r="I513" s="20"/>
      <c r="J513" s="20"/>
      <c r="K513" s="20"/>
    </row>
    <row r="514" spans="1:11" x14ac:dyDescent="0.25">
      <c r="A514" s="20">
        <f t="shared" ref="A514" si="342">IF(F514&lt;&gt;F513,IF(A513=0,1,0),A513)</f>
        <v>1</v>
      </c>
      <c r="B514" s="20"/>
      <c r="C514" s="20"/>
      <c r="D514" s="20"/>
      <c r="E514" s="20"/>
      <c r="F514" s="20"/>
      <c r="G514" s="20"/>
      <c r="H514" s="20"/>
      <c r="I514" s="20"/>
      <c r="J514" s="20"/>
      <c r="K514" s="20"/>
    </row>
    <row r="515" spans="1:11" x14ac:dyDescent="0.25">
      <c r="A515" s="20">
        <f t="shared" ref="A515" si="343">IF(F515&lt;&gt;F514,IF(A514=0,1,0),A514)</f>
        <v>1</v>
      </c>
      <c r="B515" s="20"/>
      <c r="C515" s="20"/>
      <c r="D515" s="20"/>
      <c r="E515" s="20"/>
      <c r="F515" s="20"/>
      <c r="G515" s="20"/>
      <c r="H515" s="20"/>
      <c r="I515" s="20"/>
      <c r="J515" s="20"/>
      <c r="K515" s="20"/>
    </row>
    <row r="516" spans="1:11" x14ac:dyDescent="0.25">
      <c r="A516" s="20">
        <f t="shared" ref="A516" si="344">IF(F516&lt;&gt;F515,IF(A515=0,1,0),A515)</f>
        <v>1</v>
      </c>
      <c r="B516" s="20"/>
      <c r="C516" s="20"/>
      <c r="D516" s="20"/>
      <c r="E516" s="20"/>
      <c r="F516" s="20"/>
      <c r="G516" s="20"/>
      <c r="H516" s="20"/>
      <c r="I516" s="20"/>
      <c r="J516" s="20"/>
      <c r="K516" s="20"/>
    </row>
    <row r="517" spans="1:11" x14ac:dyDescent="0.25">
      <c r="A517" s="20">
        <f t="shared" ref="A517" si="345">IF(F517&lt;&gt;F516,IF(A516=0,1,0),A516)</f>
        <v>1</v>
      </c>
      <c r="B517" s="20"/>
      <c r="C517" s="20"/>
      <c r="D517" s="20"/>
      <c r="E517" s="20"/>
      <c r="F517" s="20"/>
      <c r="G517" s="20"/>
      <c r="H517" s="20"/>
      <c r="I517" s="20"/>
      <c r="J517" s="20"/>
      <c r="K517" s="20"/>
    </row>
    <row r="518" spans="1:11" x14ac:dyDescent="0.25">
      <c r="A518" s="20">
        <f t="shared" ref="A518" si="346">IF(F518&lt;&gt;F517,IF(A517=0,1,0),A517)</f>
        <v>1</v>
      </c>
      <c r="B518" s="20"/>
      <c r="C518" s="20"/>
      <c r="D518" s="20"/>
      <c r="E518" s="20"/>
      <c r="F518" s="20"/>
      <c r="G518" s="20"/>
      <c r="H518" s="20"/>
      <c r="I518" s="20"/>
      <c r="J518" s="20"/>
      <c r="K518" s="20"/>
    </row>
    <row r="519" spans="1:11" x14ac:dyDescent="0.25">
      <c r="A519" s="20">
        <f t="shared" ref="A519" si="347">IF(F519&lt;&gt;F518,IF(A518=0,1,0),A518)</f>
        <v>1</v>
      </c>
      <c r="B519" s="20"/>
      <c r="C519" s="20"/>
      <c r="D519" s="20"/>
      <c r="E519" s="20"/>
      <c r="F519" s="20"/>
      <c r="G519" s="20"/>
      <c r="H519" s="20"/>
      <c r="I519" s="20"/>
      <c r="J519" s="20"/>
      <c r="K519" s="20"/>
    </row>
    <row r="520" spans="1:11" x14ac:dyDescent="0.25">
      <c r="A520" s="20">
        <f t="shared" ref="A520" si="348">IF(F520&lt;&gt;F519,IF(A519=0,1,0),A519)</f>
        <v>1</v>
      </c>
      <c r="B520" s="20"/>
      <c r="C520" s="20"/>
      <c r="D520" s="20"/>
      <c r="E520" s="20"/>
      <c r="F520" s="20"/>
      <c r="G520" s="20"/>
      <c r="H520" s="20"/>
      <c r="I520" s="20"/>
      <c r="J520" s="20"/>
      <c r="K520" s="20"/>
    </row>
    <row r="521" spans="1:11" x14ac:dyDescent="0.25">
      <c r="A521" s="20">
        <f t="shared" ref="A521" si="349">IF(F521&lt;&gt;F520,IF(A520=0,1,0),A520)</f>
        <v>1</v>
      </c>
      <c r="B521" s="20"/>
      <c r="C521" s="20"/>
      <c r="D521" s="20"/>
      <c r="E521" s="20"/>
      <c r="F521" s="20"/>
      <c r="G521" s="20"/>
      <c r="H521" s="20"/>
      <c r="I521" s="20"/>
      <c r="J521" s="20"/>
      <c r="K521" s="20"/>
    </row>
    <row r="522" spans="1:11" x14ac:dyDescent="0.25">
      <c r="A522" s="20">
        <f t="shared" ref="A522" si="350">IF(F522&lt;&gt;F521,IF(A521=0,1,0),A521)</f>
        <v>1</v>
      </c>
      <c r="B522" s="20"/>
      <c r="C522" s="20"/>
      <c r="D522" s="20"/>
      <c r="E522" s="20"/>
      <c r="F522" s="20"/>
      <c r="G522" s="20"/>
      <c r="H522" s="20"/>
      <c r="I522" s="20"/>
      <c r="J522" s="20"/>
      <c r="K522" s="20"/>
    </row>
    <row r="523" spans="1:11" x14ac:dyDescent="0.25">
      <c r="A523" s="20">
        <f t="shared" ref="A523" si="351">IF(F523&lt;&gt;F522,IF(A522=0,1,0),A522)</f>
        <v>1</v>
      </c>
      <c r="B523" s="20"/>
      <c r="C523" s="20"/>
      <c r="D523" s="20"/>
      <c r="E523" s="20"/>
      <c r="F523" s="20"/>
      <c r="G523" s="20"/>
      <c r="H523" s="20"/>
      <c r="I523" s="20"/>
      <c r="J523" s="20"/>
      <c r="K523" s="20"/>
    </row>
    <row r="524" spans="1:11" x14ac:dyDescent="0.25">
      <c r="A524" s="20">
        <f t="shared" ref="A524" si="352">IF(F524&lt;&gt;F523,IF(A523=0,1,0),A523)</f>
        <v>1</v>
      </c>
      <c r="B524" s="20"/>
      <c r="C524" s="20"/>
      <c r="D524" s="20"/>
      <c r="E524" s="20"/>
      <c r="F524" s="20"/>
      <c r="G524" s="20"/>
      <c r="H524" s="20"/>
      <c r="I524" s="20"/>
      <c r="J524" s="20"/>
      <c r="K524" s="20"/>
    </row>
    <row r="525" spans="1:11" x14ac:dyDescent="0.25">
      <c r="A525" s="20">
        <f t="shared" ref="A525" si="353">IF(F525&lt;&gt;F524,IF(A524=0,1,0),A524)</f>
        <v>1</v>
      </c>
      <c r="B525" s="20"/>
      <c r="C525" s="20"/>
      <c r="D525" s="20"/>
      <c r="E525" s="20"/>
      <c r="F525" s="20"/>
      <c r="G525" s="20"/>
      <c r="H525" s="20"/>
      <c r="I525" s="20"/>
      <c r="J525" s="20"/>
      <c r="K525" s="20"/>
    </row>
    <row r="526" spans="1:11" x14ac:dyDescent="0.25">
      <c r="A526" s="20">
        <f t="shared" ref="A526" si="354">IF(F526&lt;&gt;F525,IF(A525=0,1,0),A525)</f>
        <v>1</v>
      </c>
      <c r="B526" s="20"/>
      <c r="C526" s="20"/>
      <c r="D526" s="20"/>
      <c r="E526" s="20"/>
      <c r="F526" s="20"/>
      <c r="G526" s="20"/>
      <c r="H526" s="20"/>
      <c r="I526" s="20"/>
      <c r="J526" s="20"/>
      <c r="K526" s="20"/>
    </row>
    <row r="527" spans="1:11" x14ac:dyDescent="0.25">
      <c r="A527" s="20">
        <f t="shared" ref="A527" si="355">IF(F527&lt;&gt;F526,IF(A526=0,1,0),A526)</f>
        <v>1</v>
      </c>
      <c r="B527" s="20"/>
      <c r="C527" s="20"/>
      <c r="D527" s="20"/>
      <c r="E527" s="20"/>
      <c r="F527" s="20"/>
      <c r="G527" s="20"/>
      <c r="H527" s="20"/>
      <c r="I527" s="20"/>
      <c r="J527" s="20"/>
      <c r="K527" s="20"/>
    </row>
    <row r="528" spans="1:11" x14ac:dyDescent="0.25">
      <c r="A528" s="20">
        <f t="shared" ref="A528" si="356">IF(F528&lt;&gt;F527,IF(A527=0,1,0),A527)</f>
        <v>1</v>
      </c>
      <c r="B528" s="20"/>
      <c r="C528" s="20"/>
      <c r="D528" s="20"/>
      <c r="E528" s="20"/>
      <c r="F528" s="20"/>
      <c r="G528" s="20"/>
      <c r="H528" s="20"/>
      <c r="I528" s="20"/>
      <c r="J528" s="20"/>
      <c r="K528" s="20"/>
    </row>
    <row r="529" spans="1:11" x14ac:dyDescent="0.25">
      <c r="A529" s="20">
        <f t="shared" ref="A529" si="357">IF(F529&lt;&gt;F528,IF(A528=0,1,0),A528)</f>
        <v>1</v>
      </c>
      <c r="B529" s="20"/>
      <c r="C529" s="20"/>
      <c r="D529" s="20"/>
      <c r="E529" s="20"/>
      <c r="F529" s="20"/>
      <c r="G529" s="20"/>
      <c r="H529" s="20"/>
      <c r="I529" s="20"/>
      <c r="J529" s="20"/>
      <c r="K529" s="20"/>
    </row>
    <row r="530" spans="1:11" x14ac:dyDescent="0.25">
      <c r="A530" s="20">
        <f t="shared" ref="A530" si="358">IF(F530&lt;&gt;F529,IF(A529=0,1,0),A529)</f>
        <v>1</v>
      </c>
      <c r="B530" s="20"/>
      <c r="C530" s="20"/>
      <c r="D530" s="20"/>
      <c r="E530" s="20"/>
      <c r="F530" s="20"/>
      <c r="G530" s="20"/>
      <c r="H530" s="20"/>
      <c r="I530" s="20"/>
      <c r="J530" s="20"/>
      <c r="K530" s="20"/>
    </row>
    <row r="531" spans="1:11" x14ac:dyDescent="0.25">
      <c r="A531" s="20">
        <f t="shared" ref="A531" si="359">IF(F531&lt;&gt;F530,IF(A530=0,1,0),A530)</f>
        <v>1</v>
      </c>
      <c r="B531" s="20"/>
      <c r="C531" s="20"/>
      <c r="D531" s="20"/>
      <c r="E531" s="20"/>
      <c r="F531" s="20"/>
      <c r="G531" s="20"/>
      <c r="H531" s="20"/>
      <c r="I531" s="20"/>
      <c r="J531" s="20"/>
      <c r="K531" s="20"/>
    </row>
    <row r="532" spans="1:11" x14ac:dyDescent="0.25">
      <c r="A532" s="20">
        <f t="shared" ref="A532" si="360">IF(F532&lt;&gt;F531,IF(A531=0,1,0),A531)</f>
        <v>1</v>
      </c>
      <c r="B532" s="20"/>
      <c r="C532" s="20"/>
      <c r="D532" s="20"/>
      <c r="E532" s="20"/>
      <c r="F532" s="20"/>
      <c r="G532" s="20"/>
      <c r="H532" s="20"/>
      <c r="I532" s="20"/>
      <c r="J532" s="20"/>
      <c r="K532" s="20"/>
    </row>
    <row r="533" spans="1:11" x14ac:dyDescent="0.25">
      <c r="A533" s="20">
        <f t="shared" ref="A533:A546" si="361">IF(F533&lt;&gt;F532,IF(A532=0,1,0),A532)</f>
        <v>1</v>
      </c>
      <c r="B533" s="20"/>
      <c r="C533" s="20"/>
      <c r="D533" s="20"/>
      <c r="E533" s="20"/>
      <c r="F533" s="20"/>
      <c r="G533" s="20"/>
      <c r="H533" s="20"/>
      <c r="I533" s="20"/>
      <c r="J533" s="20"/>
      <c r="K533" s="20"/>
    </row>
    <row r="534" spans="1:11" x14ac:dyDescent="0.25">
      <c r="A534" s="20">
        <f t="shared" si="361"/>
        <v>1</v>
      </c>
      <c r="B534" s="20"/>
      <c r="C534" s="20"/>
      <c r="D534" s="20"/>
      <c r="E534" s="20"/>
      <c r="F534" s="20"/>
      <c r="G534" s="20"/>
      <c r="H534" s="20"/>
      <c r="I534" s="20"/>
      <c r="J534" s="20"/>
      <c r="K534" s="20"/>
    </row>
    <row r="535" spans="1:11" x14ac:dyDescent="0.25">
      <c r="A535" s="20">
        <f t="shared" si="361"/>
        <v>1</v>
      </c>
      <c r="B535" s="20"/>
      <c r="C535" s="20"/>
      <c r="D535" s="20"/>
      <c r="E535" s="20"/>
      <c r="F535" s="20"/>
      <c r="G535" s="20"/>
      <c r="H535" s="20"/>
      <c r="I535" s="20"/>
      <c r="J535" s="20"/>
      <c r="K535" s="20"/>
    </row>
    <row r="536" spans="1:11" x14ac:dyDescent="0.25">
      <c r="A536" s="20">
        <f t="shared" si="361"/>
        <v>1</v>
      </c>
      <c r="B536" s="20"/>
      <c r="C536" s="20"/>
      <c r="D536" s="20"/>
      <c r="E536" s="20"/>
      <c r="F536" s="20"/>
      <c r="G536" s="20"/>
      <c r="H536" s="20"/>
      <c r="I536" s="20"/>
      <c r="J536" s="20"/>
      <c r="K536" s="20"/>
    </row>
    <row r="537" spans="1:11" x14ac:dyDescent="0.25">
      <c r="A537" s="20">
        <f t="shared" si="361"/>
        <v>1</v>
      </c>
      <c r="B537" s="20"/>
      <c r="C537" s="20"/>
      <c r="D537" s="20"/>
      <c r="E537" s="20"/>
      <c r="F537" s="20"/>
      <c r="G537" s="20"/>
      <c r="H537" s="20"/>
      <c r="I537" s="20"/>
      <c r="J537" s="20"/>
      <c r="K537" s="20"/>
    </row>
    <row r="538" spans="1:11" x14ac:dyDescent="0.25">
      <c r="A538" s="20">
        <f t="shared" si="361"/>
        <v>1</v>
      </c>
      <c r="B538" s="20"/>
      <c r="C538" s="20"/>
      <c r="D538" s="20"/>
      <c r="E538" s="20"/>
      <c r="F538" s="20"/>
      <c r="G538" s="20"/>
      <c r="H538" s="20"/>
      <c r="I538" s="20"/>
      <c r="J538" s="20"/>
      <c r="K538" s="20"/>
    </row>
    <row r="539" spans="1:11" x14ac:dyDescent="0.25">
      <c r="A539" s="20">
        <f t="shared" si="361"/>
        <v>1</v>
      </c>
      <c r="B539" s="20"/>
      <c r="C539" s="20"/>
      <c r="D539" s="20"/>
      <c r="E539" s="20"/>
      <c r="F539" s="20"/>
      <c r="G539" s="20"/>
      <c r="H539" s="20"/>
      <c r="I539" s="20"/>
      <c r="J539" s="20"/>
      <c r="K539" s="20"/>
    </row>
    <row r="540" spans="1:11" x14ac:dyDescent="0.25">
      <c r="A540" s="20">
        <f t="shared" si="361"/>
        <v>1</v>
      </c>
      <c r="B540" s="20"/>
      <c r="C540" s="20"/>
      <c r="D540" s="20"/>
      <c r="E540" s="20"/>
      <c r="F540" s="20"/>
      <c r="G540" s="20"/>
      <c r="H540" s="20"/>
      <c r="I540" s="20"/>
      <c r="J540" s="20"/>
      <c r="K540" s="20"/>
    </row>
    <row r="541" spans="1:11" x14ac:dyDescent="0.25">
      <c r="A541" s="20">
        <f t="shared" si="361"/>
        <v>1</v>
      </c>
      <c r="B541" s="20"/>
      <c r="C541" s="20"/>
      <c r="D541" s="20"/>
      <c r="E541" s="20"/>
      <c r="F541" s="20"/>
      <c r="G541" s="20"/>
      <c r="H541" s="20"/>
      <c r="I541" s="20"/>
      <c r="J541" s="20"/>
      <c r="K541" s="20"/>
    </row>
    <row r="542" spans="1:11" x14ac:dyDescent="0.25">
      <c r="A542" s="20">
        <f t="shared" si="361"/>
        <v>1</v>
      </c>
      <c r="B542" s="20"/>
      <c r="C542" s="20"/>
      <c r="D542" s="20"/>
      <c r="E542" s="20"/>
      <c r="F542" s="20"/>
      <c r="G542" s="20"/>
      <c r="H542" s="20"/>
      <c r="I542" s="20"/>
      <c r="J542" s="20"/>
      <c r="K542" s="20"/>
    </row>
    <row r="543" spans="1:11" x14ac:dyDescent="0.25">
      <c r="A543" s="20">
        <f t="shared" si="361"/>
        <v>1</v>
      </c>
      <c r="B543" s="20"/>
      <c r="C543" s="20"/>
      <c r="D543" s="20"/>
      <c r="E543" s="20"/>
      <c r="F543" s="20"/>
      <c r="G543" s="20"/>
      <c r="H543" s="20"/>
      <c r="I543" s="20"/>
      <c r="J543" s="20"/>
      <c r="K543" s="20"/>
    </row>
    <row r="544" spans="1:11" x14ac:dyDescent="0.25">
      <c r="A544" s="20">
        <f t="shared" si="361"/>
        <v>1</v>
      </c>
      <c r="B544" s="20"/>
      <c r="C544" s="20"/>
      <c r="D544" s="20"/>
      <c r="E544" s="20"/>
      <c r="F544" s="20"/>
      <c r="G544" s="20"/>
      <c r="H544" s="20"/>
      <c r="I544" s="20"/>
      <c r="J544" s="20"/>
      <c r="K544" s="20"/>
    </row>
    <row r="545" spans="1:11" x14ac:dyDescent="0.25">
      <c r="A545" s="20">
        <f t="shared" si="361"/>
        <v>1</v>
      </c>
      <c r="B545" s="20"/>
      <c r="C545" s="20"/>
      <c r="D545" s="20"/>
      <c r="E545" s="20"/>
      <c r="F545" s="20"/>
      <c r="G545" s="20"/>
      <c r="H545" s="20"/>
      <c r="I545" s="20"/>
      <c r="J545" s="20"/>
      <c r="K545" s="20"/>
    </row>
    <row r="546" spans="1:11" x14ac:dyDescent="0.25">
      <c r="A546" s="20">
        <f t="shared" si="361"/>
        <v>1</v>
      </c>
      <c r="B546" s="20"/>
      <c r="C546" s="20"/>
      <c r="D546" s="20"/>
      <c r="E546" s="20"/>
      <c r="F546" s="20"/>
      <c r="G546" s="20"/>
      <c r="H546" s="20"/>
      <c r="I546" s="20"/>
      <c r="J546" s="20"/>
      <c r="K546" s="20"/>
    </row>
    <row r="547" spans="1:11" x14ac:dyDescent="0.25">
      <c r="A547" s="20">
        <f t="shared" ref="A547:A585" si="362">IF(F547&lt;&gt;F546,IF(A546=0,1,0),A546)</f>
        <v>1</v>
      </c>
      <c r="B547" s="20"/>
      <c r="C547" s="20"/>
      <c r="D547" s="20"/>
      <c r="E547" s="20"/>
      <c r="F547" s="20"/>
      <c r="G547" s="20"/>
      <c r="H547" s="20"/>
      <c r="I547" s="20"/>
      <c r="J547" s="20"/>
      <c r="K547" s="20"/>
    </row>
    <row r="548" spans="1:11" x14ac:dyDescent="0.25">
      <c r="A548" s="20">
        <f t="shared" si="362"/>
        <v>1</v>
      </c>
      <c r="B548" s="20"/>
      <c r="C548" s="20"/>
      <c r="D548" s="20"/>
      <c r="E548" s="20"/>
      <c r="F548" s="20"/>
      <c r="G548" s="20"/>
      <c r="H548" s="20"/>
      <c r="I548" s="20"/>
      <c r="J548" s="20"/>
      <c r="K548" s="20"/>
    </row>
    <row r="549" spans="1:11" x14ac:dyDescent="0.25">
      <c r="A549" s="20">
        <f t="shared" si="362"/>
        <v>1</v>
      </c>
      <c r="B549" s="20"/>
      <c r="C549" s="20"/>
      <c r="D549" s="20"/>
      <c r="E549" s="20"/>
      <c r="F549" s="20"/>
      <c r="G549" s="20"/>
      <c r="H549" s="20"/>
      <c r="I549" s="20"/>
      <c r="J549" s="20"/>
      <c r="K549" s="20"/>
    </row>
    <row r="550" spans="1:11" x14ac:dyDescent="0.25">
      <c r="A550" s="20">
        <f t="shared" si="362"/>
        <v>1</v>
      </c>
      <c r="B550" s="20"/>
      <c r="C550" s="20"/>
      <c r="D550" s="20"/>
      <c r="E550" s="20"/>
      <c r="F550" s="20"/>
      <c r="G550" s="20"/>
      <c r="H550" s="20"/>
      <c r="I550" s="20"/>
      <c r="J550" s="20"/>
      <c r="K550" s="20"/>
    </row>
    <row r="551" spans="1:11" x14ac:dyDescent="0.25">
      <c r="A551" s="20">
        <f t="shared" si="362"/>
        <v>1</v>
      </c>
      <c r="B551" s="20"/>
      <c r="C551" s="20"/>
      <c r="D551" s="20"/>
      <c r="E551" s="20"/>
      <c r="F551" s="20"/>
      <c r="G551" s="20"/>
      <c r="H551" s="20"/>
      <c r="I551" s="20"/>
      <c r="J551" s="20"/>
      <c r="K551" s="20"/>
    </row>
    <row r="552" spans="1:11" x14ac:dyDescent="0.25">
      <c r="A552" s="20">
        <f t="shared" si="362"/>
        <v>1</v>
      </c>
      <c r="B552" s="20"/>
      <c r="C552" s="20"/>
      <c r="D552" s="20"/>
      <c r="E552" s="20"/>
      <c r="F552" s="20"/>
      <c r="G552" s="20"/>
      <c r="H552" s="20"/>
      <c r="I552" s="20"/>
      <c r="J552" s="20"/>
      <c r="K552" s="20"/>
    </row>
    <row r="553" spans="1:11" x14ac:dyDescent="0.25">
      <c r="A553" s="20">
        <f t="shared" si="362"/>
        <v>1</v>
      </c>
      <c r="B553" s="20"/>
      <c r="C553" s="20"/>
      <c r="D553" s="20"/>
      <c r="E553" s="20"/>
      <c r="F553" s="20"/>
      <c r="G553" s="20"/>
      <c r="H553" s="20"/>
      <c r="I553" s="20"/>
      <c r="J553" s="20"/>
      <c r="K553" s="20"/>
    </row>
    <row r="554" spans="1:11" x14ac:dyDescent="0.25">
      <c r="A554" s="20">
        <f t="shared" si="362"/>
        <v>1</v>
      </c>
      <c r="B554" s="20"/>
      <c r="C554" s="20"/>
      <c r="D554" s="20"/>
      <c r="E554" s="20"/>
      <c r="F554" s="20"/>
      <c r="G554" s="20"/>
      <c r="H554" s="20"/>
      <c r="I554" s="20"/>
      <c r="J554" s="20"/>
      <c r="K554" s="20"/>
    </row>
    <row r="555" spans="1:11" x14ac:dyDescent="0.25">
      <c r="A555" s="20">
        <f t="shared" si="362"/>
        <v>1</v>
      </c>
      <c r="B555" s="20"/>
      <c r="C555" s="20"/>
      <c r="D555" s="20"/>
      <c r="E555" s="20"/>
      <c r="F555" s="20"/>
      <c r="G555" s="20"/>
      <c r="H555" s="20"/>
      <c r="I555" s="20"/>
      <c r="J555" s="20"/>
      <c r="K555" s="20"/>
    </row>
    <row r="556" spans="1:11" x14ac:dyDescent="0.25">
      <c r="A556" s="20">
        <f t="shared" si="362"/>
        <v>1</v>
      </c>
      <c r="B556" s="20"/>
      <c r="C556" s="20"/>
      <c r="D556" s="20"/>
      <c r="E556" s="20"/>
      <c r="F556" s="20"/>
      <c r="G556" s="20"/>
      <c r="H556" s="20"/>
      <c r="I556" s="20"/>
      <c r="J556" s="20"/>
      <c r="K556" s="20"/>
    </row>
    <row r="557" spans="1:11" x14ac:dyDescent="0.25">
      <c r="A557" s="20">
        <f t="shared" si="362"/>
        <v>1</v>
      </c>
      <c r="B557" s="20"/>
      <c r="C557" s="20"/>
      <c r="D557" s="20"/>
      <c r="E557" s="20"/>
      <c r="F557" s="20"/>
      <c r="G557" s="20"/>
      <c r="H557" s="20"/>
      <c r="I557" s="20"/>
      <c r="J557" s="20"/>
      <c r="K557" s="20"/>
    </row>
    <row r="558" spans="1:11" x14ac:dyDescent="0.25">
      <c r="A558" s="20">
        <f t="shared" si="362"/>
        <v>1</v>
      </c>
      <c r="B558" s="20"/>
      <c r="C558" s="20"/>
      <c r="D558" s="20"/>
      <c r="E558" s="20"/>
      <c r="F558" s="20"/>
      <c r="G558" s="20"/>
      <c r="H558" s="20"/>
      <c r="I558" s="20"/>
      <c r="J558" s="20"/>
      <c r="K558" s="20"/>
    </row>
    <row r="559" spans="1:11" x14ac:dyDescent="0.25">
      <c r="A559" s="20">
        <f t="shared" si="362"/>
        <v>1</v>
      </c>
      <c r="B559" s="20"/>
      <c r="C559" s="20"/>
      <c r="D559" s="20"/>
      <c r="E559" s="20"/>
      <c r="F559" s="20"/>
      <c r="G559" s="20"/>
      <c r="H559" s="20"/>
      <c r="I559" s="20"/>
      <c r="J559" s="20"/>
      <c r="K559" s="20"/>
    </row>
    <row r="560" spans="1:11" x14ac:dyDescent="0.25">
      <c r="A560" s="20">
        <f t="shared" si="362"/>
        <v>1</v>
      </c>
      <c r="B560" s="20"/>
      <c r="C560" s="20"/>
      <c r="D560" s="20"/>
      <c r="E560" s="20"/>
      <c r="F560" s="20"/>
      <c r="G560" s="20"/>
      <c r="H560" s="20"/>
      <c r="I560" s="20"/>
      <c r="J560" s="20"/>
      <c r="K560" s="20"/>
    </row>
    <row r="561" spans="1:11" x14ac:dyDescent="0.25">
      <c r="A561" s="20">
        <f t="shared" si="362"/>
        <v>1</v>
      </c>
      <c r="B561" s="20"/>
      <c r="C561" s="20"/>
      <c r="D561" s="20"/>
      <c r="E561" s="20"/>
      <c r="F561" s="20"/>
      <c r="G561" s="20"/>
      <c r="H561" s="20"/>
      <c r="I561" s="20"/>
      <c r="J561" s="20"/>
      <c r="K561" s="20"/>
    </row>
    <row r="562" spans="1:11" x14ac:dyDescent="0.25">
      <c r="A562" s="20">
        <f t="shared" si="362"/>
        <v>1</v>
      </c>
      <c r="B562" s="20"/>
      <c r="C562" s="20"/>
      <c r="D562" s="20"/>
      <c r="E562" s="20"/>
      <c r="F562" s="20"/>
      <c r="G562" s="20"/>
      <c r="H562" s="20"/>
      <c r="I562" s="20"/>
      <c r="J562" s="20"/>
      <c r="K562" s="20"/>
    </row>
    <row r="563" spans="1:11" x14ac:dyDescent="0.25">
      <c r="A563" s="20">
        <f t="shared" si="362"/>
        <v>1</v>
      </c>
      <c r="B563" s="20"/>
      <c r="C563" s="20"/>
      <c r="D563" s="20"/>
      <c r="E563" s="20"/>
      <c r="F563" s="20"/>
      <c r="G563" s="20"/>
      <c r="H563" s="20"/>
      <c r="I563" s="20"/>
      <c r="J563" s="20"/>
      <c r="K563" s="20"/>
    </row>
    <row r="564" spans="1:11" x14ac:dyDescent="0.25">
      <c r="A564" s="20">
        <f t="shared" si="362"/>
        <v>1</v>
      </c>
      <c r="B564" s="20"/>
      <c r="C564" s="20"/>
      <c r="D564" s="20"/>
      <c r="E564" s="20"/>
      <c r="F564" s="20"/>
      <c r="G564" s="20"/>
      <c r="H564" s="20"/>
      <c r="I564" s="20"/>
      <c r="J564" s="20"/>
      <c r="K564" s="20"/>
    </row>
    <row r="565" spans="1:11" x14ac:dyDescent="0.25">
      <c r="A565" s="20">
        <f t="shared" si="362"/>
        <v>1</v>
      </c>
      <c r="B565" s="20"/>
      <c r="C565" s="20"/>
      <c r="D565" s="20"/>
      <c r="E565" s="20"/>
      <c r="F565" s="20"/>
      <c r="G565" s="20"/>
      <c r="H565" s="20"/>
      <c r="I565" s="20"/>
      <c r="J565" s="20"/>
      <c r="K565" s="20"/>
    </row>
    <row r="566" spans="1:11" x14ac:dyDescent="0.25">
      <c r="A566" s="20">
        <f t="shared" si="362"/>
        <v>1</v>
      </c>
      <c r="B566" s="20"/>
      <c r="C566" s="20"/>
      <c r="D566" s="20"/>
      <c r="E566" s="20"/>
      <c r="F566" s="20"/>
      <c r="G566" s="20"/>
      <c r="H566" s="20"/>
      <c r="I566" s="20"/>
      <c r="J566" s="20"/>
      <c r="K566" s="20"/>
    </row>
    <row r="567" spans="1:11" x14ac:dyDescent="0.25">
      <c r="A567" s="20">
        <f t="shared" si="362"/>
        <v>1</v>
      </c>
      <c r="B567" s="20"/>
      <c r="C567" s="20"/>
      <c r="D567" s="20"/>
      <c r="E567" s="20"/>
      <c r="F567" s="20"/>
      <c r="G567" s="20"/>
      <c r="H567" s="20"/>
      <c r="I567" s="20"/>
      <c r="J567" s="20"/>
      <c r="K567" s="20"/>
    </row>
    <row r="568" spans="1:11" x14ac:dyDescent="0.25">
      <c r="A568" s="20">
        <f t="shared" si="362"/>
        <v>1</v>
      </c>
      <c r="B568" s="20"/>
      <c r="C568" s="20"/>
      <c r="D568" s="20"/>
      <c r="E568" s="20"/>
      <c r="F568" s="20"/>
      <c r="G568" s="20"/>
      <c r="H568" s="20"/>
      <c r="I568" s="20"/>
      <c r="J568" s="20"/>
      <c r="K568" s="20"/>
    </row>
    <row r="569" spans="1:11" x14ac:dyDescent="0.25">
      <c r="A569" s="20">
        <f t="shared" si="362"/>
        <v>1</v>
      </c>
      <c r="B569" s="20"/>
      <c r="C569" s="20"/>
      <c r="D569" s="20"/>
      <c r="E569" s="20"/>
      <c r="F569" s="20"/>
      <c r="G569" s="20"/>
      <c r="H569" s="20"/>
      <c r="I569" s="20"/>
      <c r="J569" s="20"/>
      <c r="K569" s="20"/>
    </row>
    <row r="570" spans="1:11" x14ac:dyDescent="0.25">
      <c r="A570" s="20">
        <f t="shared" si="362"/>
        <v>1</v>
      </c>
      <c r="B570" s="20"/>
      <c r="C570" s="20"/>
      <c r="D570" s="20"/>
      <c r="E570" s="20"/>
      <c r="F570" s="20"/>
      <c r="G570" s="20"/>
      <c r="H570" s="20"/>
      <c r="I570" s="20"/>
      <c r="J570" s="20"/>
      <c r="K570" s="20"/>
    </row>
    <row r="571" spans="1:11" x14ac:dyDescent="0.25">
      <c r="A571" s="20">
        <f t="shared" si="362"/>
        <v>1</v>
      </c>
      <c r="B571" s="20"/>
      <c r="C571" s="20"/>
      <c r="D571" s="20"/>
      <c r="E571" s="20"/>
      <c r="F571" s="20"/>
      <c r="G571" s="20"/>
      <c r="H571" s="20"/>
      <c r="I571" s="20"/>
      <c r="J571" s="20"/>
      <c r="K571" s="20"/>
    </row>
    <row r="572" spans="1:11" x14ac:dyDescent="0.25">
      <c r="A572" s="20">
        <f t="shared" si="362"/>
        <v>1</v>
      </c>
      <c r="B572" s="20"/>
      <c r="C572" s="20"/>
      <c r="D572" s="20"/>
      <c r="E572" s="20"/>
      <c r="F572" s="20"/>
      <c r="G572" s="20"/>
      <c r="H572" s="20"/>
      <c r="I572" s="20"/>
      <c r="J572" s="20"/>
      <c r="K572" s="20"/>
    </row>
    <row r="573" spans="1:11" x14ac:dyDescent="0.25">
      <c r="A573" s="20">
        <f t="shared" si="362"/>
        <v>1</v>
      </c>
      <c r="B573" s="20"/>
      <c r="C573" s="20"/>
      <c r="D573" s="20"/>
      <c r="E573" s="20"/>
      <c r="F573" s="20"/>
      <c r="G573" s="20"/>
      <c r="H573" s="20"/>
      <c r="I573" s="20"/>
      <c r="J573" s="20"/>
      <c r="K573" s="20"/>
    </row>
    <row r="574" spans="1:11" x14ac:dyDescent="0.25">
      <c r="A574" s="20">
        <f t="shared" si="362"/>
        <v>1</v>
      </c>
      <c r="B574" s="20"/>
      <c r="C574" s="20"/>
      <c r="D574" s="20"/>
      <c r="E574" s="20"/>
      <c r="F574" s="20"/>
      <c r="G574" s="20"/>
      <c r="H574" s="20"/>
      <c r="I574" s="20"/>
      <c r="J574" s="20"/>
      <c r="K574" s="20"/>
    </row>
    <row r="575" spans="1:11" x14ac:dyDescent="0.25">
      <c r="A575" s="20">
        <f t="shared" si="362"/>
        <v>1</v>
      </c>
      <c r="B575" s="20"/>
      <c r="C575" s="20"/>
      <c r="D575" s="20"/>
      <c r="E575" s="20"/>
      <c r="F575" s="20"/>
      <c r="G575" s="20"/>
      <c r="H575" s="20"/>
      <c r="I575" s="20"/>
      <c r="J575" s="20"/>
      <c r="K575" s="20"/>
    </row>
    <row r="576" spans="1:11" x14ac:dyDescent="0.25">
      <c r="A576" s="20">
        <f t="shared" si="362"/>
        <v>1</v>
      </c>
      <c r="B576" s="20"/>
      <c r="C576" s="20"/>
      <c r="D576" s="20"/>
      <c r="E576" s="20"/>
      <c r="F576" s="20"/>
      <c r="G576" s="20"/>
      <c r="H576" s="20"/>
      <c r="I576" s="20"/>
      <c r="J576" s="20"/>
      <c r="K576" s="20"/>
    </row>
    <row r="577" spans="1:11" x14ac:dyDescent="0.25">
      <c r="A577" s="20">
        <f t="shared" si="362"/>
        <v>1</v>
      </c>
      <c r="B577" s="20"/>
      <c r="C577" s="20"/>
      <c r="D577" s="20"/>
      <c r="E577" s="20"/>
      <c r="F577" s="20"/>
      <c r="G577" s="20"/>
      <c r="H577" s="20"/>
      <c r="I577" s="20"/>
      <c r="J577" s="20"/>
      <c r="K577" s="20"/>
    </row>
    <row r="578" spans="1:11" x14ac:dyDescent="0.25">
      <c r="A578" s="20">
        <f t="shared" si="362"/>
        <v>1</v>
      </c>
      <c r="B578" s="20"/>
      <c r="C578" s="20"/>
      <c r="D578" s="20"/>
      <c r="E578" s="20"/>
      <c r="F578" s="20"/>
      <c r="G578" s="20"/>
      <c r="H578" s="20"/>
      <c r="I578" s="20"/>
      <c r="J578" s="20"/>
      <c r="K578" s="20"/>
    </row>
    <row r="579" spans="1:11" x14ac:dyDescent="0.25">
      <c r="A579" s="20">
        <f t="shared" si="362"/>
        <v>1</v>
      </c>
      <c r="B579" s="20"/>
      <c r="C579" s="20"/>
      <c r="D579" s="20"/>
      <c r="E579" s="20"/>
      <c r="F579" s="20"/>
      <c r="G579" s="20"/>
      <c r="H579" s="20"/>
      <c r="I579" s="20"/>
      <c r="J579" s="20"/>
      <c r="K579" s="20"/>
    </row>
    <row r="580" spans="1:11" x14ac:dyDescent="0.25">
      <c r="A580" s="20">
        <f t="shared" si="362"/>
        <v>1</v>
      </c>
      <c r="B580" s="20"/>
      <c r="C580" s="20"/>
      <c r="D580" s="20"/>
      <c r="E580" s="20"/>
      <c r="F580" s="20"/>
      <c r="G580" s="20"/>
      <c r="H580" s="20"/>
      <c r="I580" s="20"/>
      <c r="J580" s="20"/>
      <c r="K580" s="20"/>
    </row>
    <row r="581" spans="1:11" x14ac:dyDescent="0.25">
      <c r="A581" s="20">
        <f t="shared" si="362"/>
        <v>1</v>
      </c>
      <c r="B581" s="20"/>
      <c r="C581" s="20"/>
      <c r="D581" s="20"/>
      <c r="E581" s="20"/>
      <c r="F581" s="20"/>
      <c r="G581" s="20"/>
      <c r="H581" s="20"/>
      <c r="I581" s="20"/>
      <c r="J581" s="20"/>
      <c r="K581" s="20"/>
    </row>
    <row r="582" spans="1:11" x14ac:dyDescent="0.25">
      <c r="A582" s="20">
        <f t="shared" si="362"/>
        <v>1</v>
      </c>
      <c r="B582" s="20"/>
      <c r="C582" s="20"/>
      <c r="D582" s="20"/>
      <c r="E582" s="20"/>
      <c r="F582" s="20"/>
      <c r="G582" s="20"/>
      <c r="H582" s="20"/>
      <c r="I582" s="20"/>
      <c r="J582" s="20"/>
      <c r="K582" s="20"/>
    </row>
    <row r="583" spans="1:11" x14ac:dyDescent="0.25">
      <c r="A583" s="20">
        <f t="shared" si="362"/>
        <v>1</v>
      </c>
      <c r="B583" s="20"/>
      <c r="C583" s="20"/>
      <c r="D583" s="20"/>
      <c r="E583" s="20"/>
      <c r="F583" s="20"/>
      <c r="G583" s="20"/>
      <c r="H583" s="20"/>
      <c r="I583" s="20"/>
      <c r="J583" s="20"/>
      <c r="K583" s="20"/>
    </row>
    <row r="584" spans="1:11" x14ac:dyDescent="0.25">
      <c r="A584" s="20">
        <f t="shared" si="362"/>
        <v>1</v>
      </c>
      <c r="B584" s="20"/>
      <c r="C584" s="20"/>
      <c r="D584" s="20"/>
      <c r="E584" s="20"/>
      <c r="F584" s="20"/>
      <c r="G584" s="20"/>
      <c r="H584" s="20"/>
      <c r="I584" s="20"/>
      <c r="J584" s="20"/>
      <c r="K584" s="20"/>
    </row>
    <row r="585" spans="1:11" x14ac:dyDescent="0.25">
      <c r="A585" s="20">
        <f t="shared" si="362"/>
        <v>1</v>
      </c>
      <c r="B585" s="20"/>
      <c r="C585" s="20"/>
      <c r="D585" s="20"/>
      <c r="E585" s="20"/>
      <c r="F585" s="20"/>
      <c r="G585" s="20"/>
      <c r="H585" s="20"/>
      <c r="I585" s="20"/>
      <c r="J585" s="20"/>
      <c r="K585" s="20"/>
    </row>
  </sheetData>
  <conditionalFormatting sqref="B79:I87 B76:I76 B69:I72 B91:I91 B16:I66 B7:I14 B3:I5 B104:I130 A1:I2 B140:I140 B200:I227 B132:I133 B141:G141 I141 B238:I247 B251:I253 A533:A585 B229:I233">
    <cfRule type="expression" dxfId="189" priority="372">
      <formula>$A1=1</formula>
    </cfRule>
  </conditionalFormatting>
  <conditionalFormatting sqref="B67:I67">
    <cfRule type="expression" dxfId="188" priority="371">
      <formula>$A67=1</formula>
    </cfRule>
  </conditionalFormatting>
  <conditionalFormatting sqref="B68:I68">
    <cfRule type="expression" dxfId="187" priority="369">
      <formula>$A68=1</formula>
    </cfRule>
  </conditionalFormatting>
  <conditionalFormatting sqref="B74:I74">
    <cfRule type="expression" dxfId="186" priority="364">
      <formula>$A74=1</formula>
    </cfRule>
  </conditionalFormatting>
  <conditionalFormatting sqref="B78:I78">
    <cfRule type="expression" dxfId="185" priority="367">
      <formula>$A78=1</formula>
    </cfRule>
  </conditionalFormatting>
  <conditionalFormatting sqref="B73:I73">
    <cfRule type="expression" dxfId="184" priority="361">
      <formula>$A73=1</formula>
    </cfRule>
  </conditionalFormatting>
  <conditionalFormatting sqref="B77:I77">
    <cfRule type="expression" dxfId="183" priority="358">
      <formula>$A77=1</formula>
    </cfRule>
  </conditionalFormatting>
  <conditionalFormatting sqref="B92:I92">
    <cfRule type="expression" dxfId="182" priority="353">
      <formula>$A92=1</formula>
    </cfRule>
  </conditionalFormatting>
  <conditionalFormatting sqref="B75:I75">
    <cfRule type="expression" dxfId="181" priority="355">
      <formula>$A75=1</formula>
    </cfRule>
  </conditionalFormatting>
  <conditionalFormatting sqref="B103:I103">
    <cfRule type="expression" dxfId="180" priority="351">
      <formula>$A103=1</formula>
    </cfRule>
  </conditionalFormatting>
  <conditionalFormatting sqref="B98:I98">
    <cfRule type="expression" dxfId="179" priority="349">
      <formula>$A98=1</formula>
    </cfRule>
  </conditionalFormatting>
  <conditionalFormatting sqref="B102:I102">
    <cfRule type="expression" dxfId="178" priority="346">
      <formula>$A102=1</formula>
    </cfRule>
  </conditionalFormatting>
  <conditionalFormatting sqref="B99:I99">
    <cfRule type="expression" dxfId="177" priority="343">
      <formula>$A99=1</formula>
    </cfRule>
  </conditionalFormatting>
  <conditionalFormatting sqref="B88:I88">
    <cfRule type="expression" dxfId="176" priority="333">
      <formula>$A88=1</formula>
    </cfRule>
  </conditionalFormatting>
  <conditionalFormatting sqref="B100:I100">
    <cfRule type="expression" dxfId="175" priority="339">
      <formula>$A100=1</formula>
    </cfRule>
  </conditionalFormatting>
  <conditionalFormatting sqref="B101:I101">
    <cfRule type="expression" dxfId="174" priority="334">
      <formula>$A101=1</formula>
    </cfRule>
  </conditionalFormatting>
  <conditionalFormatting sqref="B90:I90">
    <cfRule type="expression" dxfId="173" priority="331">
      <formula>$A90=1</formula>
    </cfRule>
  </conditionalFormatting>
  <conditionalFormatting sqref="B89:I89">
    <cfRule type="expression" dxfId="172" priority="329">
      <formula>$A89=1</formula>
    </cfRule>
  </conditionalFormatting>
  <conditionalFormatting sqref="B15:I15">
    <cfRule type="expression" dxfId="171" priority="326">
      <formula>$A15=1</formula>
    </cfRule>
  </conditionalFormatting>
  <conditionalFormatting sqref="B6:I6">
    <cfRule type="expression" dxfId="170" priority="324">
      <formula>$A6=1</formula>
    </cfRule>
  </conditionalFormatting>
  <conditionalFormatting sqref="B139:I139">
    <cfRule type="expression" dxfId="169" priority="300">
      <formula>$A139=1</formula>
    </cfRule>
  </conditionalFormatting>
  <conditionalFormatting sqref="B97:I97">
    <cfRule type="expression" dxfId="168" priority="320">
      <formula>$A97=1</formula>
    </cfRule>
  </conditionalFormatting>
  <conditionalFormatting sqref="B135:I135">
    <cfRule type="expression" dxfId="167" priority="297">
      <formula>$A135=1</formula>
    </cfRule>
  </conditionalFormatting>
  <conditionalFormatting sqref="B96:I96">
    <cfRule type="expression" dxfId="166" priority="317">
      <formula>$A96=1</formula>
    </cfRule>
  </conditionalFormatting>
  <conditionalFormatting sqref="J1">
    <cfRule type="expression" dxfId="165" priority="304">
      <formula>$A1=1</formula>
    </cfRule>
  </conditionalFormatting>
  <conditionalFormatting sqref="B93:I93">
    <cfRule type="expression" dxfId="164" priority="314">
      <formula>$A93=1</formula>
    </cfRule>
  </conditionalFormatting>
  <conditionalFormatting sqref="B136:I136">
    <cfRule type="expression" dxfId="163" priority="291">
      <formula>$A136=1</formula>
    </cfRule>
  </conditionalFormatting>
  <conditionalFormatting sqref="B134:I134">
    <cfRule type="expression" dxfId="162" priority="303">
      <formula>$A134=1</formula>
    </cfRule>
  </conditionalFormatting>
  <conditionalFormatting sqref="B94:I94">
    <cfRule type="expression" dxfId="161" priority="311">
      <formula>$A94=1</formula>
    </cfRule>
  </conditionalFormatting>
  <conditionalFormatting sqref="B142:E142 G142">
    <cfRule type="expression" dxfId="160" priority="294">
      <formula>$A142=1</formula>
    </cfRule>
  </conditionalFormatting>
  <conditionalFormatting sqref="B131:I131">
    <cfRule type="expression" dxfId="159" priority="285">
      <formula>$A131=1</formula>
    </cfRule>
  </conditionalFormatting>
  <conditionalFormatting sqref="B138:I138">
    <cfRule type="expression" dxfId="158" priority="282">
      <formula>$A138=1</formula>
    </cfRule>
  </conditionalFormatting>
  <conditionalFormatting sqref="B95:I95">
    <cfRule type="expression" dxfId="157" priority="308">
      <formula>$A95=1</formula>
    </cfRule>
  </conditionalFormatting>
  <conditionalFormatting sqref="B162:G162 I162">
    <cfRule type="expression" dxfId="156" priority="267">
      <formula>$A162=1</formula>
    </cfRule>
  </conditionalFormatting>
  <conditionalFormatting sqref="B184:G184 I184">
    <cfRule type="expression" dxfId="155" priority="279">
      <formula>$A184=1</formula>
    </cfRule>
  </conditionalFormatting>
  <conditionalFormatting sqref="B183:G183 I183">
    <cfRule type="expression" dxfId="154" priority="276">
      <formula>$A183=1</formula>
    </cfRule>
  </conditionalFormatting>
  <conditionalFormatting sqref="B137:I137">
    <cfRule type="expression" dxfId="153" priority="288">
      <formula>$A137=1</formula>
    </cfRule>
  </conditionalFormatting>
  <conditionalFormatting sqref="B182:G182 I182">
    <cfRule type="expression" dxfId="152" priority="273">
      <formula>$A182=1</formula>
    </cfRule>
  </conditionalFormatting>
  <conditionalFormatting sqref="B171:G171 I171">
    <cfRule type="expression" dxfId="151" priority="270">
      <formula>$A171=1</formula>
    </cfRule>
  </conditionalFormatting>
  <conditionalFormatting sqref="I157">
    <cfRule type="expression" dxfId="150" priority="252">
      <formula>$A157=1</formula>
    </cfRule>
  </conditionalFormatting>
  <conditionalFormatting sqref="B189:G189 I189">
    <cfRule type="expression" dxfId="149" priority="242">
      <formula>$A189=1</formula>
    </cfRule>
  </conditionalFormatting>
  <conditionalFormatting sqref="B158:G158 I158">
    <cfRule type="expression" dxfId="148" priority="264">
      <formula>$A158=1</formula>
    </cfRule>
  </conditionalFormatting>
  <conditionalFormatting sqref="B157:H157">
    <cfRule type="expression" dxfId="147" priority="261">
      <formula>$A157=1</formula>
    </cfRule>
  </conditionalFormatting>
  <conditionalFormatting sqref="F142">
    <cfRule type="expression" dxfId="146" priority="254">
      <formula>$A142=1</formula>
    </cfRule>
  </conditionalFormatting>
  <conditionalFormatting sqref="B156:H156">
    <cfRule type="expression" dxfId="145" priority="258">
      <formula>$A156=1</formula>
    </cfRule>
  </conditionalFormatting>
  <conditionalFormatting sqref="B196:G196 I196">
    <cfRule type="expression" dxfId="144" priority="251">
      <formula>$A196=1</formula>
    </cfRule>
  </conditionalFormatting>
  <conditionalFormatting sqref="B190:G190 I190">
    <cfRule type="expression" dxfId="143" priority="245">
      <formula>$A190=1</formula>
    </cfRule>
  </conditionalFormatting>
  <conditionalFormatting sqref="B187:G187 I187">
    <cfRule type="expression" dxfId="142" priority="236">
      <formula>$A187=1</formula>
    </cfRule>
  </conditionalFormatting>
  <conditionalFormatting sqref="B188:G188 I188">
    <cfRule type="expression" dxfId="141" priority="239">
      <formula>$A188=1</formula>
    </cfRule>
  </conditionalFormatting>
  <conditionalFormatting sqref="I156">
    <cfRule type="expression" dxfId="140" priority="253">
      <formula>$A156=1</formula>
    </cfRule>
  </conditionalFormatting>
  <conditionalFormatting sqref="B194:G194 I194">
    <cfRule type="expression" dxfId="139" priority="224">
      <formula>$A194=1</formula>
    </cfRule>
  </conditionalFormatting>
  <conditionalFormatting sqref="B191:G191 I191">
    <cfRule type="expression" dxfId="138" priority="248">
      <formula>$A191=1</formula>
    </cfRule>
  </conditionalFormatting>
  <conditionalFormatting sqref="B185:G185 I185">
    <cfRule type="expression" dxfId="137" priority="230">
      <formula>$A185=1</formula>
    </cfRule>
  </conditionalFormatting>
  <conditionalFormatting sqref="B195:G195 I195">
    <cfRule type="expression" dxfId="136" priority="227">
      <formula>$A195=1</formula>
    </cfRule>
  </conditionalFormatting>
  <conditionalFormatting sqref="B198:E198 G198:I198">
    <cfRule type="expression" dxfId="135" priority="212">
      <formula>$A198=1</formula>
    </cfRule>
  </conditionalFormatting>
  <conditionalFormatting sqref="B186:G186 I186">
    <cfRule type="expression" dxfId="134" priority="233">
      <formula>$A186=1</formula>
    </cfRule>
  </conditionalFormatting>
  <conditionalFormatting sqref="B193:G193 I193">
    <cfRule type="expression" dxfId="133" priority="221">
      <formula>$A193=1</formula>
    </cfRule>
  </conditionalFormatting>
  <conditionalFormatting sqref="B197:G197 I197">
    <cfRule type="expression" dxfId="132" priority="209">
      <formula>$A197=1</formula>
    </cfRule>
  </conditionalFormatting>
  <conditionalFormatting sqref="H186">
    <cfRule type="expression" dxfId="131" priority="192">
      <formula>$A186=1</formula>
    </cfRule>
  </conditionalFormatting>
  <conditionalFormatting sqref="F199">
    <cfRule type="expression" dxfId="130" priority="205">
      <formula>$A199=1</formula>
    </cfRule>
  </conditionalFormatting>
  <conditionalFormatting sqref="B192:G192 I192">
    <cfRule type="expression" dxfId="129" priority="218">
      <formula>$A192=1</formula>
    </cfRule>
  </conditionalFormatting>
  <conditionalFormatting sqref="F198">
    <cfRule type="expression" dxfId="128" priority="206">
      <formula>$A198=1</formula>
    </cfRule>
  </conditionalFormatting>
  <conditionalFormatting sqref="B199:E199 G199:I199">
    <cfRule type="expression" dxfId="127" priority="215">
      <formula>$A199=1</formula>
    </cfRule>
  </conditionalFormatting>
  <conditionalFormatting sqref="H162:H163">
    <cfRule type="expression" dxfId="126" priority="199">
      <formula>$A162=1</formula>
    </cfRule>
  </conditionalFormatting>
  <conditionalFormatting sqref="B163:G163 I163">
    <cfRule type="expression" dxfId="125" priority="202">
      <formula>$A163=1</formula>
    </cfRule>
  </conditionalFormatting>
  <conditionalFormatting sqref="H184">
    <cfRule type="expression" dxfId="124" priority="193">
      <formula>$A184=1</formula>
    </cfRule>
  </conditionalFormatting>
  <conditionalFormatting sqref="B164:G164 I164">
    <cfRule type="expression" dxfId="123" priority="198">
      <formula>$A164=1</formula>
    </cfRule>
  </conditionalFormatting>
  <conditionalFormatting sqref="H192">
    <cfRule type="expression" dxfId="122" priority="189">
      <formula>$A192=1</formula>
    </cfRule>
  </conditionalFormatting>
  <conditionalFormatting sqref="H182">
    <cfRule type="expression" dxfId="121" priority="194">
      <formula>$A182=1</formula>
    </cfRule>
  </conditionalFormatting>
  <conditionalFormatting sqref="H188">
    <cfRule type="expression" dxfId="120" priority="191">
      <formula>$A188=1</formula>
    </cfRule>
  </conditionalFormatting>
  <conditionalFormatting sqref="H194">
    <cfRule type="expression" dxfId="119" priority="188">
      <formula>$A194=1</formula>
    </cfRule>
  </conditionalFormatting>
  <conditionalFormatting sqref="H190">
    <cfRule type="expression" dxfId="118" priority="190">
      <formula>$A190=1</formula>
    </cfRule>
  </conditionalFormatting>
  <conditionalFormatting sqref="B258:G258">
    <cfRule type="expression" dxfId="117" priority="178">
      <formula>$A258=1</formula>
    </cfRule>
  </conditionalFormatting>
  <conditionalFormatting sqref="B259:G259">
    <cfRule type="expression" dxfId="116" priority="177">
      <formula>$A259=1</formula>
    </cfRule>
  </conditionalFormatting>
  <conditionalFormatting sqref="H259:I259">
    <cfRule type="expression" dxfId="115" priority="173">
      <formula>$A259=1</formula>
    </cfRule>
  </conditionalFormatting>
  <conditionalFormatting sqref="B234:I234">
    <cfRule type="expression" dxfId="114" priority="154">
      <formula>$A234=1</formula>
    </cfRule>
  </conditionalFormatting>
  <conditionalFormatting sqref="B254:I254">
    <cfRule type="expression" dxfId="113" priority="185">
      <formula>$A254=1</formula>
    </cfRule>
  </conditionalFormatting>
  <conditionalFormatting sqref="H196">
    <cfRule type="expression" dxfId="112" priority="187">
      <formula>$A196=1</formula>
    </cfRule>
  </conditionalFormatting>
  <conditionalFormatting sqref="B255:G255">
    <cfRule type="expression" dxfId="111" priority="181">
      <formula>$A255=1</formula>
    </cfRule>
  </conditionalFormatting>
  <conditionalFormatting sqref="I142">
    <cfRule type="expression" dxfId="110" priority="146">
      <formula>$A142=1</formula>
    </cfRule>
  </conditionalFormatting>
  <conditionalFormatting sqref="B256:G256">
    <cfRule type="expression" dxfId="109" priority="180">
      <formula>$A256=1</formula>
    </cfRule>
  </conditionalFormatting>
  <conditionalFormatting sqref="F143">
    <cfRule type="expression" dxfId="108" priority="148">
      <formula>$A143=1</formula>
    </cfRule>
  </conditionalFormatting>
  <conditionalFormatting sqref="B143:E143 G143">
    <cfRule type="expression" dxfId="107" priority="150">
      <formula>$A143=1</formula>
    </cfRule>
  </conditionalFormatting>
  <conditionalFormatting sqref="A532">
    <cfRule type="expression" dxfId="106" priority="147">
      <formula>$A532=1</formula>
    </cfRule>
  </conditionalFormatting>
  <conditionalFormatting sqref="H257:I257">
    <cfRule type="expression" dxfId="105" priority="174">
      <formula>$A257=1</formula>
    </cfRule>
  </conditionalFormatting>
  <conditionalFormatting sqref="I143">
    <cfRule type="expression" dxfId="104" priority="149">
      <formula>$A143=1</formula>
    </cfRule>
  </conditionalFormatting>
  <conditionalFormatting sqref="B257:G257">
    <cfRule type="expression" dxfId="103" priority="179">
      <formula>$A257=1</formula>
    </cfRule>
  </conditionalFormatting>
  <conditionalFormatting sqref="B249:I249">
    <cfRule type="expression" dxfId="102" priority="169">
      <formula>$A249=1</formula>
    </cfRule>
  </conditionalFormatting>
  <conditionalFormatting sqref="B260:G260">
    <cfRule type="expression" dxfId="101" priority="176">
      <formula>$A260=1</formula>
    </cfRule>
  </conditionalFormatting>
  <conditionalFormatting sqref="B250:I250">
    <cfRule type="expression" dxfId="100" priority="172">
      <formula>$A250=1</formula>
    </cfRule>
  </conditionalFormatting>
  <conditionalFormatting sqref="H255:I255">
    <cfRule type="expression" dxfId="99" priority="175">
      <formula>$A255=1</formula>
    </cfRule>
  </conditionalFormatting>
  <conditionalFormatting sqref="B235:I235">
    <cfRule type="expression" dxfId="98" priority="157">
      <formula>$A235=1</formula>
    </cfRule>
  </conditionalFormatting>
  <conditionalFormatting sqref="B248:I248">
    <cfRule type="expression" dxfId="97" priority="166">
      <formula>$A248=1</formula>
    </cfRule>
  </conditionalFormatting>
  <conditionalFormatting sqref="B237:I237">
    <cfRule type="expression" dxfId="96" priority="163">
      <formula>$A237=1</formula>
    </cfRule>
  </conditionalFormatting>
  <conditionalFormatting sqref="F145">
    <cfRule type="expression" dxfId="95" priority="138">
      <formula>$A145=1</formula>
    </cfRule>
  </conditionalFormatting>
  <conditionalFormatting sqref="B236:I236">
    <cfRule type="expression" dxfId="94" priority="160">
      <formula>$A236=1</formula>
    </cfRule>
  </conditionalFormatting>
  <conditionalFormatting sqref="B144:E144 G144">
    <cfRule type="expression" dxfId="93" priority="145">
      <formula>$A144=1</formula>
    </cfRule>
  </conditionalFormatting>
  <conditionalFormatting sqref="I144">
    <cfRule type="expression" dxfId="92" priority="144">
      <formula>$A144=1</formula>
    </cfRule>
  </conditionalFormatting>
  <conditionalFormatting sqref="B145:E145 G145">
    <cfRule type="expression" dxfId="91" priority="140">
      <formula>$A145=1</formula>
    </cfRule>
  </conditionalFormatting>
  <conditionalFormatting sqref="F144">
    <cfRule type="expression" dxfId="90" priority="143">
      <formula>$A144=1</formula>
    </cfRule>
  </conditionalFormatting>
  <conditionalFormatting sqref="I146">
    <cfRule type="expression" dxfId="89" priority="134">
      <formula>$A146=1</formula>
    </cfRule>
  </conditionalFormatting>
  <conditionalFormatting sqref="I145">
    <cfRule type="expression" dxfId="88" priority="139">
      <formula>$A145=1</formula>
    </cfRule>
  </conditionalFormatting>
  <conditionalFormatting sqref="A531">
    <cfRule type="expression" dxfId="87" priority="141">
      <formula>$A531=1</formula>
    </cfRule>
  </conditionalFormatting>
  <conditionalFormatting sqref="F146">
    <cfRule type="expression" dxfId="86" priority="133">
      <formula>$A146=1</formula>
    </cfRule>
  </conditionalFormatting>
  <conditionalFormatting sqref="A529">
    <cfRule type="expression" dxfId="85" priority="131">
      <formula>$A529=1</formula>
    </cfRule>
  </conditionalFormatting>
  <conditionalFormatting sqref="B147:E147 G147">
    <cfRule type="expression" dxfId="84" priority="130">
      <formula>$A147=1</formula>
    </cfRule>
  </conditionalFormatting>
  <conditionalFormatting sqref="A530">
    <cfRule type="expression" dxfId="83" priority="136">
      <formula>$A530=1</formula>
    </cfRule>
  </conditionalFormatting>
  <conditionalFormatting sqref="A528">
    <cfRule type="expression" dxfId="82" priority="126">
      <formula>$A528=1</formula>
    </cfRule>
  </conditionalFormatting>
  <conditionalFormatting sqref="F147">
    <cfRule type="expression" dxfId="81" priority="128">
      <formula>$A147=1</formula>
    </cfRule>
  </conditionalFormatting>
  <conditionalFormatting sqref="B146:E146 G146">
    <cfRule type="expression" dxfId="80" priority="135">
      <formula>$A146=1</formula>
    </cfRule>
  </conditionalFormatting>
  <conditionalFormatting sqref="I148">
    <cfRule type="expression" dxfId="79" priority="124">
      <formula>$A148=1</formula>
    </cfRule>
  </conditionalFormatting>
  <conditionalFormatting sqref="B149:E149 G149">
    <cfRule type="expression" dxfId="78" priority="120">
      <formula>$A149=1</formula>
    </cfRule>
  </conditionalFormatting>
  <conditionalFormatting sqref="F148">
    <cfRule type="expression" dxfId="77" priority="123">
      <formula>$A148=1</formula>
    </cfRule>
  </conditionalFormatting>
  <conditionalFormatting sqref="I147">
    <cfRule type="expression" dxfId="76" priority="129">
      <formula>$A147=1</formula>
    </cfRule>
  </conditionalFormatting>
  <conditionalFormatting sqref="B148:E148 G148">
    <cfRule type="expression" dxfId="75" priority="125">
      <formula>$A148=1</formula>
    </cfRule>
  </conditionalFormatting>
  <conditionalFormatting sqref="I151">
    <cfRule type="expression" dxfId="74" priority="109">
      <formula>$A151=1</formula>
    </cfRule>
  </conditionalFormatting>
  <conditionalFormatting sqref="A526">
    <cfRule type="expression" dxfId="73" priority="116">
      <formula>$A526=1</formula>
    </cfRule>
  </conditionalFormatting>
  <conditionalFormatting sqref="I149">
    <cfRule type="expression" dxfId="72" priority="119">
      <formula>$A149=1</formula>
    </cfRule>
  </conditionalFormatting>
  <conditionalFormatting sqref="F149">
    <cfRule type="expression" dxfId="71" priority="118">
      <formula>$A149=1</formula>
    </cfRule>
  </conditionalFormatting>
  <conditionalFormatting sqref="I150">
    <cfRule type="expression" dxfId="70" priority="114">
      <formula>$A150=1</formula>
    </cfRule>
  </conditionalFormatting>
  <conditionalFormatting sqref="B150:E150 G150">
    <cfRule type="expression" dxfId="69" priority="115">
      <formula>$A150=1</formula>
    </cfRule>
  </conditionalFormatting>
  <conditionalFormatting sqref="A527">
    <cfRule type="expression" dxfId="68" priority="121">
      <formula>$A527=1</formula>
    </cfRule>
  </conditionalFormatting>
  <conditionalFormatting sqref="A525">
    <cfRule type="expression" dxfId="67" priority="111">
      <formula>$A525=1</formula>
    </cfRule>
  </conditionalFormatting>
  <conditionalFormatting sqref="F150">
    <cfRule type="expression" dxfId="66" priority="113">
      <formula>$A150=1</formula>
    </cfRule>
  </conditionalFormatting>
  <conditionalFormatting sqref="F151">
    <cfRule type="expression" dxfId="65" priority="108">
      <formula>$A151=1</formula>
    </cfRule>
  </conditionalFormatting>
  <conditionalFormatting sqref="B151:E151 G151">
    <cfRule type="expression" dxfId="64" priority="110">
      <formula>$A151=1</formula>
    </cfRule>
  </conditionalFormatting>
  <conditionalFormatting sqref="B228:I228">
    <cfRule type="expression" dxfId="63" priority="105">
      <formula>$A228=1</formula>
    </cfRule>
  </conditionalFormatting>
  <conditionalFormatting sqref="A524">
    <cfRule type="expression" dxfId="62" priority="106">
      <formula>$A524=1</formula>
    </cfRule>
  </conditionalFormatting>
  <conditionalFormatting sqref="B152:E152 G152">
    <cfRule type="expression" dxfId="61" priority="102">
      <formula>$A152=1</formula>
    </cfRule>
  </conditionalFormatting>
  <conditionalFormatting sqref="A523">
    <cfRule type="expression" dxfId="60" priority="103">
      <formula>$A523=1</formula>
    </cfRule>
  </conditionalFormatting>
  <conditionalFormatting sqref="I152">
    <cfRule type="expression" dxfId="59" priority="101">
      <formula>$A152=1</formula>
    </cfRule>
  </conditionalFormatting>
  <conditionalFormatting sqref="F152">
    <cfRule type="expression" dxfId="58" priority="100">
      <formula>$A152=1</formula>
    </cfRule>
  </conditionalFormatting>
  <conditionalFormatting sqref="A522">
    <cfRule type="expression" dxfId="57" priority="98">
      <formula>$A522=1</formula>
    </cfRule>
  </conditionalFormatting>
  <conditionalFormatting sqref="I155">
    <cfRule type="expression" dxfId="56" priority="86">
      <formula>$A155=1</formula>
    </cfRule>
  </conditionalFormatting>
  <conditionalFormatting sqref="A521">
    <cfRule type="expression" dxfId="55" priority="93">
      <formula>$A521=1</formula>
    </cfRule>
  </conditionalFormatting>
  <conditionalFormatting sqref="F153">
    <cfRule type="expression" dxfId="54" priority="95">
      <formula>$A153=1</formula>
    </cfRule>
  </conditionalFormatting>
  <conditionalFormatting sqref="F154">
    <cfRule type="expression" dxfId="53" priority="90">
      <formula>$A154=1</formula>
    </cfRule>
  </conditionalFormatting>
  <conditionalFormatting sqref="A520">
    <cfRule type="expression" dxfId="52" priority="88">
      <formula>$A520=1</formula>
    </cfRule>
  </conditionalFormatting>
  <conditionalFormatting sqref="A519">
    <cfRule type="expression" dxfId="51" priority="83">
      <formula>$A519=1</formula>
    </cfRule>
  </conditionalFormatting>
  <conditionalFormatting sqref="I154">
    <cfRule type="expression" dxfId="50" priority="91">
      <formula>$A154=1</formula>
    </cfRule>
  </conditionalFormatting>
  <conditionalFormatting sqref="B159:G159 I159">
    <cfRule type="expression" dxfId="49" priority="82">
      <formula>$A159=1</formula>
    </cfRule>
  </conditionalFormatting>
  <conditionalFormatting sqref="A518">
    <cfRule type="expression" dxfId="48" priority="80">
      <formula>$A518=1</formula>
    </cfRule>
  </conditionalFormatting>
  <conditionalFormatting sqref="A517">
    <cfRule type="expression" dxfId="47" priority="77">
      <formula>$A517=1</formula>
    </cfRule>
  </conditionalFormatting>
  <conditionalFormatting sqref="I153">
    <cfRule type="expression" dxfId="46" priority="96">
      <formula>$A153=1</formula>
    </cfRule>
  </conditionalFormatting>
  <conditionalFormatting sqref="B153:E153 G153">
    <cfRule type="expression" dxfId="45" priority="97">
      <formula>$A153=1</formula>
    </cfRule>
  </conditionalFormatting>
  <conditionalFormatting sqref="B155:E155 G155">
    <cfRule type="expression" dxfId="44" priority="87">
      <formula>$A155=1</formula>
    </cfRule>
  </conditionalFormatting>
  <conditionalFormatting sqref="H165">
    <cfRule type="expression" dxfId="43" priority="67">
      <formula>$A165=1</formula>
    </cfRule>
  </conditionalFormatting>
  <conditionalFormatting sqref="A514">
    <cfRule type="expression" dxfId="42" priority="63">
      <formula>$A514=1</formula>
    </cfRule>
  </conditionalFormatting>
  <conditionalFormatting sqref="A513">
    <cfRule type="expression" dxfId="41" priority="59">
      <formula>$A513=1</formula>
    </cfRule>
  </conditionalFormatting>
  <conditionalFormatting sqref="F155">
    <cfRule type="expression" dxfId="40" priority="85">
      <formula>$A155=1</formula>
    </cfRule>
  </conditionalFormatting>
  <conditionalFormatting sqref="A512">
    <cfRule type="expression" dxfId="39" priority="55">
      <formula>$A512=1</formula>
    </cfRule>
  </conditionalFormatting>
  <conditionalFormatting sqref="B154:E154 G154">
    <cfRule type="expression" dxfId="38" priority="92">
      <formula>$A154=1</formula>
    </cfRule>
  </conditionalFormatting>
  <conditionalFormatting sqref="A511">
    <cfRule type="expression" dxfId="37" priority="51">
      <formula>$A511=1</formula>
    </cfRule>
  </conditionalFormatting>
  <conditionalFormatting sqref="H170">
    <cfRule type="expression" dxfId="36" priority="37">
      <formula>$A170=1</formula>
    </cfRule>
  </conditionalFormatting>
  <conditionalFormatting sqref="B160:G160 I160">
    <cfRule type="expression" dxfId="35" priority="79">
      <formula>$A160=1</formula>
    </cfRule>
  </conditionalFormatting>
  <conditionalFormatting sqref="A515">
    <cfRule type="expression" dxfId="34" priority="69">
      <formula>$A515=1</formula>
    </cfRule>
  </conditionalFormatting>
  <conditionalFormatting sqref="B168:G168 I168">
    <cfRule type="expression" dxfId="33" priority="42">
      <formula>$A168=1</formula>
    </cfRule>
  </conditionalFormatting>
  <conditionalFormatting sqref="B170:G170 I170">
    <cfRule type="expression" dxfId="32" priority="38">
      <formula>$A170=1</formula>
    </cfRule>
  </conditionalFormatting>
  <conditionalFormatting sqref="B161:G161 I161">
    <cfRule type="expression" dxfId="31" priority="76">
      <formula>$A161=1</formula>
    </cfRule>
  </conditionalFormatting>
  <conditionalFormatting sqref="A516">
    <cfRule type="expression" dxfId="30" priority="74">
      <formula>$A516=1</formula>
    </cfRule>
  </conditionalFormatting>
  <conditionalFormatting sqref="B166:G166 I166">
    <cfRule type="expression" dxfId="29" priority="66">
      <formula>$A166=1</formula>
    </cfRule>
  </conditionalFormatting>
  <conditionalFormatting sqref="B165:G165 I165">
    <cfRule type="expression" dxfId="28" priority="72">
      <formula>$A165=1</formula>
    </cfRule>
  </conditionalFormatting>
  <conditionalFormatting sqref="H167">
    <cfRule type="expression" dxfId="27" priority="61">
      <formula>$A167=1</formula>
    </cfRule>
  </conditionalFormatting>
  <conditionalFormatting sqref="B167:G167 I167">
    <cfRule type="expression" dxfId="26" priority="62">
      <formula>$A167=1</formula>
    </cfRule>
  </conditionalFormatting>
  <conditionalFormatting sqref="H164">
    <cfRule type="expression" dxfId="25" priority="68">
      <formula>$A164=1</formula>
    </cfRule>
  </conditionalFormatting>
  <conditionalFormatting sqref="H166">
    <cfRule type="expression" dxfId="24" priority="64">
      <formula>$A166=1</formula>
    </cfRule>
  </conditionalFormatting>
  <conditionalFormatting sqref="B169:G169 I169">
    <cfRule type="expression" dxfId="23" priority="33">
      <formula>$A169=1</formula>
    </cfRule>
  </conditionalFormatting>
  <conditionalFormatting sqref="H168">
    <cfRule type="expression" dxfId="22" priority="41">
      <formula>$A168=1</formula>
    </cfRule>
  </conditionalFormatting>
  <conditionalFormatting sqref="H169">
    <cfRule type="expression" dxfId="21" priority="32">
      <formula>$A169=1</formula>
    </cfRule>
  </conditionalFormatting>
  <conditionalFormatting sqref="A510">
    <cfRule type="expression" dxfId="20" priority="31">
      <formula>$A510=1</formula>
    </cfRule>
  </conditionalFormatting>
  <conditionalFormatting sqref="B172:G172 I172">
    <cfRule type="expression" dxfId="19" priority="30">
      <formula>$A172=1</formula>
    </cfRule>
  </conditionalFormatting>
  <conditionalFormatting sqref="B173:G173 I173">
    <cfRule type="expression" dxfId="18" priority="27">
      <formula>$A173=1</formula>
    </cfRule>
  </conditionalFormatting>
  <conditionalFormatting sqref="A509">
    <cfRule type="expression" dxfId="17" priority="28">
      <formula>$A509=1</formula>
    </cfRule>
  </conditionalFormatting>
  <conditionalFormatting sqref="B174:G174 I174">
    <cfRule type="expression" dxfId="16" priority="24">
      <formula>$A174=1</formula>
    </cfRule>
  </conditionalFormatting>
  <conditionalFormatting sqref="A508">
    <cfRule type="expression" dxfId="15" priority="25">
      <formula>$A508=1</formula>
    </cfRule>
  </conditionalFormatting>
  <conditionalFormatting sqref="A507">
    <cfRule type="expression" dxfId="14" priority="22">
      <formula>$A507=1</formula>
    </cfRule>
  </conditionalFormatting>
  <conditionalFormatting sqref="B175:G175 I175">
    <cfRule type="expression" dxfId="13" priority="21">
      <formula>$A175=1</formula>
    </cfRule>
  </conditionalFormatting>
  <conditionalFormatting sqref="A506">
    <cfRule type="expression" dxfId="12" priority="19">
      <formula>$A506=1</formula>
    </cfRule>
  </conditionalFormatting>
  <conditionalFormatting sqref="B176:G176 I176">
    <cfRule type="expression" dxfId="11" priority="18">
      <formula>$A176=1</formula>
    </cfRule>
  </conditionalFormatting>
  <conditionalFormatting sqref="A505">
    <cfRule type="expression" dxfId="10" priority="16">
      <formula>$A505=1</formula>
    </cfRule>
  </conditionalFormatting>
  <conditionalFormatting sqref="A504">
    <cfRule type="expression" dxfId="9" priority="13">
      <formula>$A504=1</formula>
    </cfRule>
  </conditionalFormatting>
  <conditionalFormatting sqref="B177:G177 I177">
    <cfRule type="expression" dxfId="8" priority="15">
      <formula>$A177=1</formula>
    </cfRule>
  </conditionalFormatting>
  <conditionalFormatting sqref="A503">
    <cfRule type="expression" dxfId="7" priority="10">
      <formula>$A503=1</formula>
    </cfRule>
  </conditionalFormatting>
  <conditionalFormatting sqref="A502">
    <cfRule type="expression" dxfId="6" priority="7">
      <formula>$A502=1</formula>
    </cfRule>
  </conditionalFormatting>
  <conditionalFormatting sqref="A501">
    <cfRule type="expression" dxfId="5" priority="4">
      <formula>$A501=1</formula>
    </cfRule>
  </conditionalFormatting>
  <conditionalFormatting sqref="B178:G178 I178">
    <cfRule type="expression" dxfId="4" priority="12">
      <formula>$A178=1</formula>
    </cfRule>
  </conditionalFormatting>
  <conditionalFormatting sqref="B179:G179 I179">
    <cfRule type="expression" dxfId="3" priority="9">
      <formula>$A179=1</formula>
    </cfRule>
  </conditionalFormatting>
  <conditionalFormatting sqref="B180:G180 I180">
    <cfRule type="expression" dxfId="2" priority="6">
      <formula>$A180=1</formula>
    </cfRule>
  </conditionalFormatting>
  <conditionalFormatting sqref="B181:G181 I181">
    <cfRule type="expression" dxfId="1" priority="3">
      <formula>$A181=1</formula>
    </cfRule>
  </conditionalFormatting>
  <conditionalFormatting sqref="A3:A500">
    <cfRule type="expression" dxfId="0" priority="1">
      <formula>$A3=1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Question">
                <anchor moveWithCells="1" sizeWithCells="1">
                  <from>
                    <xdr:col>8</xdr:col>
                    <xdr:colOff>904875</xdr:colOff>
                    <xdr:row>0</xdr:row>
                    <xdr:rowOff>9525</xdr:rowOff>
                  </from>
                  <to>
                    <xdr:col>8</xdr:col>
                    <xdr:colOff>2590800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calculate">
                <anchor moveWithCells="1" sizeWithCells="1">
                  <from>
                    <xdr:col>8</xdr:col>
                    <xdr:colOff>3152775</xdr:colOff>
                    <xdr:row>0</xdr:row>
                    <xdr:rowOff>9525</xdr:rowOff>
                  </from>
                  <to>
                    <xdr:col>8</xdr:col>
                    <xdr:colOff>4781550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calculateFormat">
                <anchor moveWithCells="1" sizeWithCells="1">
                  <from>
                    <xdr:col>8</xdr:col>
                    <xdr:colOff>4943475</xdr:colOff>
                    <xdr:row>0</xdr:row>
                    <xdr:rowOff>19050</xdr:rowOff>
                  </from>
                  <to>
                    <xdr:col>8</xdr:col>
                    <xdr:colOff>6524625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2" sqref="B2"/>
    </sheetView>
  </sheetViews>
  <sheetFormatPr defaultRowHeight="15" x14ac:dyDescent="0.25"/>
  <cols>
    <col min="1" max="1" width="15.28515625" customWidth="1"/>
    <col min="3" max="3" width="3.5703125" customWidth="1"/>
    <col min="4" max="4" width="51.7109375" customWidth="1"/>
    <col min="5" max="5" width="40.5703125" customWidth="1"/>
  </cols>
  <sheetData>
    <row r="1" spans="1:5" ht="19.5" x14ac:dyDescent="0.25">
      <c r="A1" s="5" t="s">
        <v>289</v>
      </c>
      <c r="B1" s="5" t="s">
        <v>285</v>
      </c>
      <c r="D1" s="5" t="s">
        <v>293</v>
      </c>
      <c r="E1" s="5" t="s">
        <v>294</v>
      </c>
    </row>
    <row r="2" spans="1:5" x14ac:dyDescent="0.25">
      <c r="A2" t="s">
        <v>296</v>
      </c>
      <c r="B2">
        <f>ROW(B2)-2</f>
        <v>0</v>
      </c>
      <c r="D2" t="str">
        <f>("&lt;string name = ""Cat_"&amp;B2&amp;"""&gt;"&amp;A2&amp;"&lt;/string&gt;")</f>
        <v>&lt;string name = "Cat_0"&gt;Random Word&lt;/string&gt;</v>
      </c>
      <c r="E2" t="str">
        <f>("&lt;item&gt;@string/Cat_"&amp;B2&amp;"&lt;/item&gt;")</f>
        <v>&lt;item&gt;@string/Cat_0&lt;/item&gt;</v>
      </c>
    </row>
    <row r="3" spans="1:5" x14ac:dyDescent="0.25">
      <c r="A3" t="s">
        <v>297</v>
      </c>
      <c r="B3">
        <f t="shared" ref="B3:B7" si="0">ROW(B3)-2</f>
        <v>1</v>
      </c>
      <c r="D3" t="str">
        <f t="shared" ref="D3:D7" si="1">("&lt;string name = ""Cat_"&amp;B3&amp;"""&gt;"&amp;A3&amp;"&lt;/string&gt;")</f>
        <v>&lt;string name = "Cat_1"&gt;Topics&lt;/string&gt;</v>
      </c>
      <c r="E3" t="str">
        <f t="shared" ref="E3:E7" si="2">("&lt;item&gt;@string/Cat_"&amp;B3&amp;"&lt;/item&gt;")</f>
        <v>&lt;item&gt;@string/Cat_1&lt;/item&gt;</v>
      </c>
    </row>
    <row r="4" spans="1:5" x14ac:dyDescent="0.25">
      <c r="A4" t="s">
        <v>1</v>
      </c>
      <c r="B4">
        <f t="shared" si="0"/>
        <v>2</v>
      </c>
      <c r="D4" t="str">
        <f t="shared" si="1"/>
        <v>&lt;string name = "Cat_2"&gt;Questions&lt;/string&gt;</v>
      </c>
      <c r="E4" t="str">
        <f t="shared" si="2"/>
        <v>&lt;item&gt;@string/Cat_2&lt;/item&gt;</v>
      </c>
    </row>
    <row r="5" spans="1:5" x14ac:dyDescent="0.25">
      <c r="A5" t="s">
        <v>298</v>
      </c>
      <c r="B5">
        <f t="shared" si="0"/>
        <v>3</v>
      </c>
      <c r="D5" t="str">
        <f t="shared" si="1"/>
        <v>&lt;string name = "Cat_3"&gt;Dates &amp; Fun&lt;/string&gt;</v>
      </c>
      <c r="E5" t="str">
        <f t="shared" si="2"/>
        <v>&lt;item&gt;@string/Cat_3&lt;/item&gt;</v>
      </c>
    </row>
    <row r="6" spans="1:5" x14ac:dyDescent="0.25">
      <c r="A6" t="s">
        <v>299</v>
      </c>
      <c r="B6">
        <f t="shared" si="0"/>
        <v>4</v>
      </c>
      <c r="D6" t="str">
        <f t="shared" si="1"/>
        <v>&lt;string name = "Cat_4"&gt;Intimacy&lt;/string&gt;</v>
      </c>
      <c r="E6" t="str">
        <f t="shared" si="2"/>
        <v>&lt;item&gt;@string/Cat_4&lt;/item&gt;</v>
      </c>
    </row>
    <row r="7" spans="1:5" x14ac:dyDescent="0.25">
      <c r="A7" t="s">
        <v>300</v>
      </c>
      <c r="B7">
        <f t="shared" si="0"/>
        <v>5</v>
      </c>
      <c r="D7" t="str">
        <f t="shared" si="1"/>
        <v>&lt;string name = "Cat_5"&gt;Sensual&lt;/string&gt;</v>
      </c>
      <c r="E7" t="str">
        <f t="shared" si="2"/>
        <v>&lt;item&gt;@string/Cat_5&lt;/item&gt;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"/>
  <sheetViews>
    <sheetView workbookViewId="0">
      <selection activeCell="C22" sqref="C22"/>
    </sheetView>
  </sheetViews>
  <sheetFormatPr defaultRowHeight="15" x14ac:dyDescent="0.25"/>
  <cols>
    <col min="1" max="1" width="15.7109375" customWidth="1"/>
    <col min="3" max="3" width="19.140625" customWidth="1"/>
    <col min="5" max="5" width="5" customWidth="1"/>
    <col min="6" max="6" width="47.140625" customWidth="1"/>
    <col min="7" max="7" width="45.5703125" customWidth="1"/>
  </cols>
  <sheetData>
    <row r="1" spans="1:7" ht="19.5" x14ac:dyDescent="0.3">
      <c r="A1" s="5" t="s">
        <v>289</v>
      </c>
      <c r="B1" s="5" t="s">
        <v>285</v>
      </c>
      <c r="C1" s="5" t="s">
        <v>287</v>
      </c>
      <c r="D1" s="5" t="s">
        <v>288</v>
      </c>
      <c r="F1" s="14" t="s">
        <v>293</v>
      </c>
      <c r="G1" s="14" t="s">
        <v>294</v>
      </c>
    </row>
    <row r="2" spans="1:7" x14ac:dyDescent="0.25">
      <c r="A2" s="2" t="s">
        <v>1</v>
      </c>
      <c r="B2" s="6">
        <f t="shared" ref="B2:B22" si="0">VLOOKUP(A2, Categories, 2, FALSE)</f>
        <v>2</v>
      </c>
      <c r="C2" s="2" t="s">
        <v>2</v>
      </c>
      <c r="D2" s="6">
        <f>ROW(D2)-2</f>
        <v>0</v>
      </c>
      <c r="F2" t="str">
        <f>("&lt;string name = ""Sub_"&amp;D2&amp;"""&gt;"&amp;C2&amp;"&lt;/string&gt;")</f>
        <v>&lt;string name = "Sub_0"&gt;Life&lt;/string&gt;</v>
      </c>
      <c r="G2" t="str">
        <f>("&lt;item&gt;@string/Sub_"&amp;D2&amp;"&lt;/item&gt;")</f>
        <v>&lt;item&gt;@string/Sub_0&lt;/item&gt;</v>
      </c>
    </row>
    <row r="3" spans="1:7" x14ac:dyDescent="0.25">
      <c r="A3" s="2" t="s">
        <v>1</v>
      </c>
      <c r="B3" s="6">
        <f t="shared" si="0"/>
        <v>2</v>
      </c>
      <c r="C3" s="2" t="s">
        <v>85</v>
      </c>
      <c r="D3" s="6">
        <f t="shared" ref="D3:D22" si="1">ROW(D3)-2</f>
        <v>1</v>
      </c>
      <c r="F3" t="str">
        <f t="shared" ref="F3:F22" si="2">("&lt;string name = ""Sub_"&amp;D3&amp;"""&gt;"&amp;C3&amp;"&lt;/string&gt;")</f>
        <v>&lt;string name = "Sub_1"&gt;Couples Love&lt;/string&gt;</v>
      </c>
      <c r="G3" t="str">
        <f t="shared" ref="G3:G22" si="3">("&lt;item&gt;@string/Sub_"&amp;D3&amp;"&lt;/item&gt;")</f>
        <v>&lt;item&gt;@string/Sub_1&lt;/item&gt;</v>
      </c>
    </row>
    <row r="4" spans="1:7" x14ac:dyDescent="0.25">
      <c r="A4" s="2" t="s">
        <v>1</v>
      </c>
      <c r="B4" s="6">
        <f t="shared" si="0"/>
        <v>2</v>
      </c>
      <c r="C4" s="2" t="s">
        <v>112</v>
      </c>
      <c r="D4" s="6">
        <f t="shared" si="1"/>
        <v>2</v>
      </c>
      <c r="F4" t="str">
        <f t="shared" si="2"/>
        <v>&lt;string name = "Sub_2"&gt;Relationships&lt;/string&gt;</v>
      </c>
      <c r="G4" t="str">
        <f t="shared" si="3"/>
        <v>&lt;item&gt;@string/Sub_2&lt;/item&gt;</v>
      </c>
    </row>
    <row r="5" spans="1:7" x14ac:dyDescent="0.25">
      <c r="A5" s="2" t="s">
        <v>1</v>
      </c>
      <c r="B5" s="6">
        <f t="shared" si="0"/>
        <v>2</v>
      </c>
      <c r="C5" s="2" t="s">
        <v>159</v>
      </c>
      <c r="D5" s="6">
        <f t="shared" si="1"/>
        <v>3</v>
      </c>
      <c r="F5" t="str">
        <f t="shared" si="2"/>
        <v>&lt;string name = "Sub_3"&gt;Self&lt;/string&gt;</v>
      </c>
      <c r="G5" t="str">
        <f t="shared" si="3"/>
        <v>&lt;item&gt;@string/Sub_3&lt;/item&gt;</v>
      </c>
    </row>
    <row r="6" spans="1:7" x14ac:dyDescent="0.25">
      <c r="A6" s="2" t="s">
        <v>1</v>
      </c>
      <c r="B6" s="6">
        <f t="shared" si="0"/>
        <v>2</v>
      </c>
      <c r="C6" s="2" t="s">
        <v>199</v>
      </c>
      <c r="D6" s="6">
        <f t="shared" si="1"/>
        <v>4</v>
      </c>
      <c r="F6" t="str">
        <f t="shared" si="2"/>
        <v>&lt;string name = "Sub_4"&gt;Religion&lt;/string&gt;</v>
      </c>
      <c r="G6" t="str">
        <f t="shared" si="3"/>
        <v>&lt;item&gt;@string/Sub_4&lt;/item&gt;</v>
      </c>
    </row>
    <row r="7" spans="1:7" x14ac:dyDescent="0.25">
      <c r="A7" s="2" t="s">
        <v>1</v>
      </c>
      <c r="B7" s="6">
        <f t="shared" si="0"/>
        <v>2</v>
      </c>
      <c r="C7" s="2" t="s">
        <v>270</v>
      </c>
      <c r="D7" s="6">
        <f t="shared" si="1"/>
        <v>5</v>
      </c>
      <c r="F7" t="str">
        <f t="shared" si="2"/>
        <v>&lt;string name = "Sub_5"&gt;Government&lt;/string&gt;</v>
      </c>
      <c r="G7" t="str">
        <f t="shared" si="3"/>
        <v>&lt;item&gt;@string/Sub_5&lt;/item&gt;</v>
      </c>
    </row>
    <row r="8" spans="1:7" x14ac:dyDescent="0.25">
      <c r="A8" s="13" t="s">
        <v>298</v>
      </c>
      <c r="B8" s="6">
        <f t="shared" si="0"/>
        <v>3</v>
      </c>
      <c r="C8" s="13" t="s">
        <v>301</v>
      </c>
      <c r="D8" s="6">
        <f t="shared" si="1"/>
        <v>6</v>
      </c>
      <c r="F8" t="str">
        <f t="shared" si="2"/>
        <v>&lt;string name = "Sub_6"&gt;Fun&lt;/string&gt;</v>
      </c>
      <c r="G8" t="str">
        <f t="shared" si="3"/>
        <v>&lt;item&gt;@string/Sub_6&lt;/item&gt;</v>
      </c>
    </row>
    <row r="9" spans="1:7" x14ac:dyDescent="0.25">
      <c r="A9" s="13" t="s">
        <v>298</v>
      </c>
      <c r="B9" s="6">
        <f t="shared" si="0"/>
        <v>3</v>
      </c>
      <c r="C9" s="13" t="s">
        <v>302</v>
      </c>
      <c r="D9" s="6">
        <f t="shared" si="1"/>
        <v>7</v>
      </c>
      <c r="F9" t="str">
        <f t="shared" si="2"/>
        <v>&lt;string name = "Sub_7"&gt;Dates&lt;/string&gt;</v>
      </c>
      <c r="G9" t="str">
        <f t="shared" si="3"/>
        <v>&lt;item&gt;@string/Sub_7&lt;/item&gt;</v>
      </c>
    </row>
    <row r="10" spans="1:7" x14ac:dyDescent="0.25">
      <c r="A10" s="13" t="s">
        <v>298</v>
      </c>
      <c r="B10" s="6">
        <f t="shared" si="0"/>
        <v>3</v>
      </c>
      <c r="C10" s="13" t="s">
        <v>303</v>
      </c>
      <c r="D10" s="6">
        <f t="shared" si="1"/>
        <v>8</v>
      </c>
      <c r="F10" t="str">
        <f t="shared" si="2"/>
        <v>&lt;string name = "Sub_8"&gt;Romantic Dates&lt;/string&gt;</v>
      </c>
      <c r="G10" t="str">
        <f t="shared" si="3"/>
        <v>&lt;item&gt;@string/Sub_8&lt;/item&gt;</v>
      </c>
    </row>
    <row r="11" spans="1:7" x14ac:dyDescent="0.25">
      <c r="A11" s="13" t="s">
        <v>299</v>
      </c>
      <c r="B11" s="6">
        <f t="shared" si="0"/>
        <v>4</v>
      </c>
      <c r="C11" s="13" t="s">
        <v>304</v>
      </c>
      <c r="D11" s="6">
        <f t="shared" si="1"/>
        <v>9</v>
      </c>
      <c r="F11" t="str">
        <f t="shared" si="2"/>
        <v>&lt;string name = "Sub_9"&gt;Feelings&lt;/string&gt;</v>
      </c>
      <c r="G11" t="str">
        <f t="shared" si="3"/>
        <v>&lt;item&gt;@string/Sub_9&lt;/item&gt;</v>
      </c>
    </row>
    <row r="12" spans="1:7" x14ac:dyDescent="0.25">
      <c r="A12" s="13" t="s">
        <v>299</v>
      </c>
      <c r="B12" s="6">
        <f t="shared" si="0"/>
        <v>4</v>
      </c>
      <c r="C12" s="13" t="s">
        <v>305</v>
      </c>
      <c r="D12" s="6">
        <f t="shared" si="1"/>
        <v>10</v>
      </c>
      <c r="F12" t="str">
        <f t="shared" si="2"/>
        <v>&lt;string name = "Sub_10"&gt;Contrast&lt;/string&gt;</v>
      </c>
      <c r="G12" t="str">
        <f t="shared" si="3"/>
        <v>&lt;item&gt;@string/Sub_10&lt;/item&gt;</v>
      </c>
    </row>
    <row r="13" spans="1:7" x14ac:dyDescent="0.25">
      <c r="A13" s="13" t="s">
        <v>299</v>
      </c>
      <c r="B13" s="6">
        <f t="shared" si="0"/>
        <v>4</v>
      </c>
      <c r="C13" s="13" t="s">
        <v>306</v>
      </c>
      <c r="D13" s="6">
        <f t="shared" si="1"/>
        <v>11</v>
      </c>
      <c r="F13" t="str">
        <f t="shared" si="2"/>
        <v>&lt;string name = "Sub_11"&gt;Complaints&lt;/string&gt;</v>
      </c>
      <c r="G13" t="str">
        <f t="shared" si="3"/>
        <v>&lt;item&gt;@string/Sub_11&lt;/item&gt;</v>
      </c>
    </row>
    <row r="14" spans="1:7" x14ac:dyDescent="0.25">
      <c r="A14" s="13" t="s">
        <v>299</v>
      </c>
      <c r="B14" s="6">
        <f t="shared" si="0"/>
        <v>4</v>
      </c>
      <c r="C14" s="13" t="s">
        <v>307</v>
      </c>
      <c r="D14" s="6">
        <f t="shared" si="1"/>
        <v>12</v>
      </c>
      <c r="F14" t="str">
        <f t="shared" si="2"/>
        <v>&lt;string name = "Sub_12"&gt;Love Language&lt;/string&gt;</v>
      </c>
      <c r="G14" t="str">
        <f t="shared" si="3"/>
        <v>&lt;item&gt;@string/Sub_12&lt;/item&gt;</v>
      </c>
    </row>
    <row r="15" spans="1:7" x14ac:dyDescent="0.25">
      <c r="A15" s="13" t="s">
        <v>299</v>
      </c>
      <c r="B15" s="6">
        <f t="shared" si="0"/>
        <v>4</v>
      </c>
      <c r="C15" s="13" t="s">
        <v>308</v>
      </c>
      <c r="D15" s="6">
        <f t="shared" si="1"/>
        <v>13</v>
      </c>
      <c r="F15" t="str">
        <f t="shared" si="2"/>
        <v>&lt;string name = "Sub_13"&gt;Trauma&lt;/string&gt;</v>
      </c>
      <c r="G15" t="str">
        <f t="shared" si="3"/>
        <v>&lt;item&gt;@string/Sub_13&lt;/item&gt;</v>
      </c>
    </row>
    <row r="16" spans="1:7" x14ac:dyDescent="0.25">
      <c r="A16" s="13" t="s">
        <v>299</v>
      </c>
      <c r="B16" s="6">
        <f t="shared" si="0"/>
        <v>4</v>
      </c>
      <c r="C16" s="13" t="s">
        <v>309</v>
      </c>
      <c r="D16" s="6">
        <f t="shared" si="1"/>
        <v>14</v>
      </c>
      <c r="F16" t="str">
        <f t="shared" si="2"/>
        <v>&lt;string name = "Sub_14"&gt;Childhood&lt;/string&gt;</v>
      </c>
      <c r="G16" t="str">
        <f t="shared" si="3"/>
        <v>&lt;item&gt;@string/Sub_14&lt;/item&gt;</v>
      </c>
    </row>
    <row r="17" spans="1:7" x14ac:dyDescent="0.25">
      <c r="A17" s="13" t="s">
        <v>299</v>
      </c>
      <c r="B17" s="6">
        <f t="shared" si="0"/>
        <v>4</v>
      </c>
      <c r="C17" s="13" t="s">
        <v>310</v>
      </c>
      <c r="D17" s="6">
        <f t="shared" si="1"/>
        <v>15</v>
      </c>
      <c r="F17" t="str">
        <f t="shared" si="2"/>
        <v>&lt;string name = "Sub_15"&gt;Affirmations&lt;/string&gt;</v>
      </c>
      <c r="G17" t="str">
        <f t="shared" si="3"/>
        <v>&lt;item&gt;@string/Sub_15&lt;/item&gt;</v>
      </c>
    </row>
    <row r="18" spans="1:7" x14ac:dyDescent="0.25">
      <c r="A18" s="13" t="s">
        <v>299</v>
      </c>
      <c r="B18" s="6">
        <f t="shared" si="0"/>
        <v>4</v>
      </c>
      <c r="C18" s="13" t="s">
        <v>311</v>
      </c>
      <c r="D18" s="6">
        <f t="shared" si="1"/>
        <v>16</v>
      </c>
      <c r="F18" t="str">
        <f t="shared" si="2"/>
        <v>&lt;string name = "Sub_16"&gt;Needs&lt;/string&gt;</v>
      </c>
      <c r="G18" t="str">
        <f t="shared" si="3"/>
        <v>&lt;item&gt;@string/Sub_16&lt;/item&gt;</v>
      </c>
    </row>
    <row r="19" spans="1:7" x14ac:dyDescent="0.25">
      <c r="A19" s="13" t="s">
        <v>300</v>
      </c>
      <c r="B19" s="6">
        <f t="shared" si="0"/>
        <v>5</v>
      </c>
      <c r="C19" s="13" t="s">
        <v>312</v>
      </c>
      <c r="D19" s="6">
        <f t="shared" si="1"/>
        <v>17</v>
      </c>
      <c r="F19" t="str">
        <f t="shared" si="2"/>
        <v>&lt;string name = "Sub_17"&gt;Romance&lt;/string&gt;</v>
      </c>
      <c r="G19" t="str">
        <f t="shared" si="3"/>
        <v>&lt;item&gt;@string/Sub_17&lt;/item&gt;</v>
      </c>
    </row>
    <row r="20" spans="1:7" x14ac:dyDescent="0.25">
      <c r="A20" s="13" t="s">
        <v>300</v>
      </c>
      <c r="B20" s="6">
        <f t="shared" si="0"/>
        <v>5</v>
      </c>
      <c r="C20" s="13" t="s">
        <v>313</v>
      </c>
      <c r="D20" s="6">
        <f t="shared" si="1"/>
        <v>18</v>
      </c>
      <c r="F20" t="str">
        <f t="shared" si="2"/>
        <v>&lt;string name = "Sub_18"&gt;Flirtations&lt;/string&gt;</v>
      </c>
      <c r="G20" t="str">
        <f t="shared" si="3"/>
        <v>&lt;item&gt;@string/Sub_18&lt;/item&gt;</v>
      </c>
    </row>
    <row r="21" spans="1:7" x14ac:dyDescent="0.25">
      <c r="A21" s="13" t="s">
        <v>300</v>
      </c>
      <c r="B21" s="6">
        <f t="shared" si="0"/>
        <v>5</v>
      </c>
      <c r="C21" s="13" t="s">
        <v>314</v>
      </c>
      <c r="D21" s="6">
        <f t="shared" si="1"/>
        <v>19</v>
      </c>
      <c r="F21" t="str">
        <f t="shared" si="2"/>
        <v>&lt;string name = "Sub_19"&gt;Foreplay&lt;/string&gt;</v>
      </c>
      <c r="G21" t="str">
        <f t="shared" si="3"/>
        <v>&lt;item&gt;@string/Sub_19&lt;/item&gt;</v>
      </c>
    </row>
    <row r="22" spans="1:7" x14ac:dyDescent="0.25">
      <c r="A22" s="13" t="s">
        <v>300</v>
      </c>
      <c r="B22" s="6">
        <f t="shared" si="0"/>
        <v>5</v>
      </c>
      <c r="C22" s="13" t="s">
        <v>100</v>
      </c>
      <c r="D22" s="6">
        <f t="shared" si="1"/>
        <v>20</v>
      </c>
      <c r="F22" t="str">
        <f t="shared" si="2"/>
        <v>&lt;string name = "Sub_20"&gt;Sex&lt;/string&gt;</v>
      </c>
      <c r="G22" t="str">
        <f t="shared" si="3"/>
        <v>&lt;item&gt;@string/Sub_20&lt;/item&gt;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3"/>
  <sheetViews>
    <sheetView topLeftCell="A13" workbookViewId="0">
      <selection activeCell="E27" sqref="E27"/>
    </sheetView>
  </sheetViews>
  <sheetFormatPr defaultRowHeight="15" x14ac:dyDescent="0.25"/>
  <cols>
    <col min="1" max="1" width="15.28515625" customWidth="1"/>
    <col min="2" max="2" width="9.140625" style="7"/>
    <col min="3" max="3" width="18.42578125" customWidth="1"/>
    <col min="4" max="4" width="10.5703125" style="7" customWidth="1"/>
    <col min="5" max="5" width="34.42578125" style="12" customWidth="1"/>
    <col min="6" max="6" width="9.85546875" bestFit="1" customWidth="1"/>
    <col min="7" max="7" width="3.5703125" customWidth="1"/>
    <col min="8" max="8" width="54.85546875" customWidth="1"/>
    <col min="9" max="9" width="37.7109375" customWidth="1"/>
    <col min="10" max="10" width="4.7109375" customWidth="1"/>
  </cols>
  <sheetData>
    <row r="1" spans="1:9" s="7" customFormat="1" ht="19.5" x14ac:dyDescent="0.25">
      <c r="A1" s="5" t="s">
        <v>289</v>
      </c>
      <c r="B1" s="5" t="s">
        <v>285</v>
      </c>
      <c r="C1" s="5" t="s">
        <v>287</v>
      </c>
      <c r="D1" s="5" t="s">
        <v>288</v>
      </c>
      <c r="E1" s="10" t="s">
        <v>0</v>
      </c>
      <c r="F1" s="5" t="s">
        <v>286</v>
      </c>
      <c r="H1" s="5" t="s">
        <v>293</v>
      </c>
      <c r="I1" s="5" t="s">
        <v>294</v>
      </c>
    </row>
    <row r="2" spans="1:9" x14ac:dyDescent="0.25">
      <c r="A2" s="2" t="s">
        <v>1</v>
      </c>
      <c r="B2" s="6">
        <f t="shared" ref="B2:B33" si="0">VLOOKUP(A2, Categories, 2, FALSE)</f>
        <v>2</v>
      </c>
      <c r="C2" s="2" t="s">
        <v>2</v>
      </c>
      <c r="D2" s="6">
        <f t="shared" ref="D2:D33" si="1">VLOOKUP(C2,Subcategories, 2, FALSE)</f>
        <v>0</v>
      </c>
      <c r="E2" s="15" t="s">
        <v>3</v>
      </c>
      <c r="F2">
        <f>ROW(F2)-2</f>
        <v>0</v>
      </c>
      <c r="H2" t="str">
        <f>("&lt;string name = ""Topic_"&amp;F2&amp;"""&gt;"&amp;E2&amp;"&lt;/string&gt;")</f>
        <v>&lt;string name = "Topic_0"&gt;Love&lt;/string&gt;</v>
      </c>
      <c r="I2" t="str">
        <f>("&lt;item&gt;@string/Topic_"&amp;F2&amp;"&lt;/item&gt;")</f>
        <v>&lt;item&gt;@string/Topic_0&lt;/item&gt;</v>
      </c>
    </row>
    <row r="3" spans="1:9" x14ac:dyDescent="0.25">
      <c r="A3" s="2" t="s">
        <v>1</v>
      </c>
      <c r="B3" s="6">
        <f t="shared" si="0"/>
        <v>2</v>
      </c>
      <c r="C3" s="2" t="s">
        <v>2</v>
      </c>
      <c r="D3" s="6">
        <f t="shared" si="1"/>
        <v>0</v>
      </c>
      <c r="E3" s="15" t="s">
        <v>15</v>
      </c>
      <c r="F3">
        <f t="shared" ref="F3:F63" si="2">ROW(F3)-2</f>
        <v>1</v>
      </c>
      <c r="H3" t="str">
        <f t="shared" ref="H3:H63" si="3">("&lt;string name = ""Topic_"&amp;F3&amp;"""&gt;"&amp;E3&amp;"&lt;/string&gt;")</f>
        <v>&lt;string name = "Topic_1"&gt;Life Cycle&lt;/string&gt;</v>
      </c>
      <c r="I3" t="str">
        <f t="shared" ref="I3:I63" si="4">("&lt;item&gt;@string/Topic_"&amp;F3&amp;"&lt;/item&gt;")</f>
        <v>&lt;item&gt;@string/Topic_1&lt;/item&gt;</v>
      </c>
    </row>
    <row r="4" spans="1:9" x14ac:dyDescent="0.25">
      <c r="A4" s="2" t="s">
        <v>1</v>
      </c>
      <c r="B4" s="6">
        <f t="shared" si="0"/>
        <v>2</v>
      </c>
      <c r="C4" s="2" t="s">
        <v>2</v>
      </c>
      <c r="D4" s="6">
        <f t="shared" si="1"/>
        <v>0</v>
      </c>
      <c r="E4" s="15" t="s">
        <v>45</v>
      </c>
      <c r="F4">
        <f t="shared" si="2"/>
        <v>2</v>
      </c>
      <c r="H4" t="str">
        <f t="shared" si="3"/>
        <v>&lt;string name = "Topic_2"&gt;The Universe&lt;/string&gt;</v>
      </c>
      <c r="I4" t="str">
        <f t="shared" si="4"/>
        <v>&lt;item&gt;@string/Topic_2&lt;/item&gt;</v>
      </c>
    </row>
    <row r="5" spans="1:9" x14ac:dyDescent="0.25">
      <c r="A5" s="2" t="s">
        <v>1</v>
      </c>
      <c r="B5" s="6">
        <f t="shared" si="0"/>
        <v>2</v>
      </c>
      <c r="C5" s="2" t="s">
        <v>2</v>
      </c>
      <c r="D5" s="6">
        <f t="shared" si="1"/>
        <v>0</v>
      </c>
      <c r="E5" s="15" t="s">
        <v>69</v>
      </c>
      <c r="F5">
        <f t="shared" si="2"/>
        <v>3</v>
      </c>
      <c r="H5" t="str">
        <f t="shared" si="3"/>
        <v>&lt;string name = "Topic_3"&gt;People&lt;/string&gt;</v>
      </c>
      <c r="I5" t="str">
        <f t="shared" si="4"/>
        <v>&lt;item&gt;@string/Topic_3&lt;/item&gt;</v>
      </c>
    </row>
    <row r="6" spans="1:9" x14ac:dyDescent="0.25">
      <c r="A6" s="2" t="s">
        <v>1</v>
      </c>
      <c r="B6" s="6">
        <f t="shared" si="0"/>
        <v>2</v>
      </c>
      <c r="C6" s="2" t="s">
        <v>2</v>
      </c>
      <c r="D6" s="6">
        <f t="shared" si="1"/>
        <v>0</v>
      </c>
      <c r="E6" s="15" t="s">
        <v>78</v>
      </c>
      <c r="F6">
        <f t="shared" si="2"/>
        <v>4</v>
      </c>
      <c r="H6" t="str">
        <f t="shared" si="3"/>
        <v>&lt;string name = "Topic_4"&gt;Special Days&lt;/string&gt;</v>
      </c>
      <c r="I6" t="str">
        <f t="shared" si="4"/>
        <v>&lt;item&gt;@string/Topic_4&lt;/item&gt;</v>
      </c>
    </row>
    <row r="7" spans="1:9" x14ac:dyDescent="0.25">
      <c r="A7" s="2" t="s">
        <v>1</v>
      </c>
      <c r="B7" s="6">
        <f t="shared" si="0"/>
        <v>2</v>
      </c>
      <c r="C7" s="2" t="s">
        <v>85</v>
      </c>
      <c r="D7" s="6">
        <f t="shared" si="1"/>
        <v>1</v>
      </c>
      <c r="E7" s="11" t="s">
        <v>86</v>
      </c>
      <c r="F7">
        <f t="shared" si="2"/>
        <v>5</v>
      </c>
      <c r="H7" t="str">
        <f t="shared" si="3"/>
        <v>&lt;string name = "Topic_5"&gt;Communication&lt;/string&gt;</v>
      </c>
      <c r="I7" t="str">
        <f t="shared" si="4"/>
        <v>&lt;item&gt;@string/Topic_5&lt;/item&gt;</v>
      </c>
    </row>
    <row r="8" spans="1:9" x14ac:dyDescent="0.25">
      <c r="A8" s="2" t="s">
        <v>1</v>
      </c>
      <c r="B8" s="6">
        <f t="shared" si="0"/>
        <v>2</v>
      </c>
      <c r="C8" s="2" t="s">
        <v>85</v>
      </c>
      <c r="D8" s="6">
        <f t="shared" si="1"/>
        <v>1</v>
      </c>
      <c r="E8" s="11" t="s">
        <v>92</v>
      </c>
      <c r="F8">
        <f t="shared" si="2"/>
        <v>6</v>
      </c>
      <c r="H8" t="str">
        <f t="shared" si="3"/>
        <v>&lt;string name = "Topic_6"&gt;Attraction&lt;/string&gt;</v>
      </c>
      <c r="I8" t="str">
        <f t="shared" si="4"/>
        <v>&lt;item&gt;@string/Topic_6&lt;/item&gt;</v>
      </c>
    </row>
    <row r="9" spans="1:9" x14ac:dyDescent="0.25">
      <c r="A9" s="2" t="s">
        <v>1</v>
      </c>
      <c r="B9" s="6">
        <f t="shared" si="0"/>
        <v>2</v>
      </c>
      <c r="C9" s="2" t="s">
        <v>85</v>
      </c>
      <c r="D9" s="6">
        <f t="shared" si="1"/>
        <v>1</v>
      </c>
      <c r="E9" s="15" t="s">
        <v>100</v>
      </c>
      <c r="F9">
        <f t="shared" si="2"/>
        <v>7</v>
      </c>
      <c r="H9" t="str">
        <f t="shared" si="3"/>
        <v>&lt;string name = "Topic_7"&gt;Sex&lt;/string&gt;</v>
      </c>
      <c r="I9" t="str">
        <f t="shared" si="4"/>
        <v>&lt;item&gt;@string/Topic_7&lt;/item&gt;</v>
      </c>
    </row>
    <row r="10" spans="1:9" x14ac:dyDescent="0.25">
      <c r="A10" s="2" t="s">
        <v>1</v>
      </c>
      <c r="B10" s="6">
        <f t="shared" si="0"/>
        <v>2</v>
      </c>
      <c r="C10" s="2" t="s">
        <v>85</v>
      </c>
      <c r="D10" s="6">
        <f t="shared" si="1"/>
        <v>1</v>
      </c>
      <c r="E10" s="15" t="s">
        <v>110</v>
      </c>
      <c r="F10">
        <f t="shared" si="2"/>
        <v>8</v>
      </c>
      <c r="H10" t="str">
        <f t="shared" si="3"/>
        <v>&lt;string name = "Topic_8"&gt;Commitment&lt;/string&gt;</v>
      </c>
      <c r="I10" t="str">
        <f t="shared" si="4"/>
        <v>&lt;item&gt;@string/Topic_8&lt;/item&gt;</v>
      </c>
    </row>
    <row r="11" spans="1:9" x14ac:dyDescent="0.25">
      <c r="A11" s="2" t="s">
        <v>1</v>
      </c>
      <c r="B11" s="6">
        <f t="shared" si="0"/>
        <v>2</v>
      </c>
      <c r="C11" s="2" t="s">
        <v>85</v>
      </c>
      <c r="D11" s="6">
        <f t="shared" si="1"/>
        <v>1</v>
      </c>
      <c r="E11" s="15" t="s">
        <v>112</v>
      </c>
      <c r="F11">
        <f t="shared" si="2"/>
        <v>9</v>
      </c>
      <c r="H11" t="str">
        <f t="shared" si="3"/>
        <v>&lt;string name = "Topic_9"&gt;Relationships&lt;/string&gt;</v>
      </c>
      <c r="I11" t="str">
        <f t="shared" si="4"/>
        <v>&lt;item&gt;@string/Topic_9&lt;/item&gt;</v>
      </c>
    </row>
    <row r="12" spans="1:9" x14ac:dyDescent="0.25">
      <c r="A12" s="2" t="s">
        <v>1</v>
      </c>
      <c r="B12" s="6">
        <f t="shared" si="0"/>
        <v>2</v>
      </c>
      <c r="C12" s="2" t="s">
        <v>85</v>
      </c>
      <c r="D12" s="6">
        <f t="shared" si="1"/>
        <v>1</v>
      </c>
      <c r="E12" s="15" t="s">
        <v>114</v>
      </c>
      <c r="F12">
        <f t="shared" si="2"/>
        <v>10</v>
      </c>
      <c r="H12" t="str">
        <f t="shared" si="3"/>
        <v>&lt;string name = "Topic_10"&gt;Connection&lt;/string&gt;</v>
      </c>
      <c r="I12" t="str">
        <f t="shared" si="4"/>
        <v>&lt;item&gt;@string/Topic_10&lt;/item&gt;</v>
      </c>
    </row>
    <row r="13" spans="1:9" x14ac:dyDescent="0.25">
      <c r="A13" s="2" t="s">
        <v>1</v>
      </c>
      <c r="B13" s="6">
        <f t="shared" si="0"/>
        <v>2</v>
      </c>
      <c r="C13" s="2" t="s">
        <v>112</v>
      </c>
      <c r="D13" s="6">
        <f t="shared" si="1"/>
        <v>2</v>
      </c>
      <c r="E13" s="11" t="s">
        <v>117</v>
      </c>
      <c r="F13">
        <f t="shared" si="2"/>
        <v>11</v>
      </c>
      <c r="H13" t="str">
        <f t="shared" si="3"/>
        <v>&lt;string name = "Topic_11"&gt;Friends&lt;/string&gt;</v>
      </c>
      <c r="I13" t="str">
        <f t="shared" si="4"/>
        <v>&lt;item&gt;@string/Topic_11&lt;/item&gt;</v>
      </c>
    </row>
    <row r="14" spans="1:9" x14ac:dyDescent="0.25">
      <c r="A14" s="2" t="s">
        <v>1</v>
      </c>
      <c r="B14" s="6">
        <f t="shared" si="0"/>
        <v>2</v>
      </c>
      <c r="C14" s="2" t="s">
        <v>112</v>
      </c>
      <c r="D14" s="6">
        <f t="shared" si="1"/>
        <v>2</v>
      </c>
      <c r="E14" s="11" t="s">
        <v>128</v>
      </c>
      <c r="F14">
        <f t="shared" si="2"/>
        <v>12</v>
      </c>
      <c r="H14" t="str">
        <f t="shared" si="3"/>
        <v>&lt;string name = "Topic_12"&gt;Family&lt;/string&gt;</v>
      </c>
      <c r="I14" t="str">
        <f t="shared" si="4"/>
        <v>&lt;item&gt;@string/Topic_12&lt;/item&gt;</v>
      </c>
    </row>
    <row r="15" spans="1:9" x14ac:dyDescent="0.25">
      <c r="A15" s="2" t="s">
        <v>1</v>
      </c>
      <c r="B15" s="6">
        <f t="shared" si="0"/>
        <v>2</v>
      </c>
      <c r="C15" s="2" t="s">
        <v>112</v>
      </c>
      <c r="D15" s="6">
        <f t="shared" si="1"/>
        <v>2</v>
      </c>
      <c r="E15" s="11" t="s">
        <v>138</v>
      </c>
      <c r="F15">
        <f t="shared" si="2"/>
        <v>13</v>
      </c>
      <c r="H15" t="str">
        <f t="shared" si="3"/>
        <v>&lt;string name = "Topic_13"&gt;Kids&lt;/string&gt;</v>
      </c>
      <c r="I15" t="str">
        <f t="shared" si="4"/>
        <v>&lt;item&gt;@string/Topic_13&lt;/item&gt;</v>
      </c>
    </row>
    <row r="16" spans="1:9" x14ac:dyDescent="0.25">
      <c r="A16" s="2" t="s">
        <v>1</v>
      </c>
      <c r="B16" s="6">
        <f t="shared" si="0"/>
        <v>2</v>
      </c>
      <c r="C16" s="2" t="s">
        <v>112</v>
      </c>
      <c r="D16" s="6">
        <f t="shared" si="1"/>
        <v>2</v>
      </c>
      <c r="E16" s="11" t="s">
        <v>146</v>
      </c>
      <c r="F16">
        <f t="shared" si="2"/>
        <v>14</v>
      </c>
      <c r="H16" t="str">
        <f t="shared" si="3"/>
        <v>&lt;string name = "Topic_14"&gt;Partners&lt;/string&gt;</v>
      </c>
      <c r="I16" t="str">
        <f t="shared" si="4"/>
        <v>&lt;item&gt;@string/Topic_14&lt;/item&gt;</v>
      </c>
    </row>
    <row r="17" spans="1:9" x14ac:dyDescent="0.25">
      <c r="A17" s="2" t="s">
        <v>1</v>
      </c>
      <c r="B17" s="6">
        <f t="shared" si="0"/>
        <v>2</v>
      </c>
      <c r="C17" s="2" t="s">
        <v>112</v>
      </c>
      <c r="D17" s="6">
        <f t="shared" si="1"/>
        <v>2</v>
      </c>
      <c r="E17" s="11" t="s">
        <v>147</v>
      </c>
      <c r="F17">
        <f t="shared" si="2"/>
        <v>15</v>
      </c>
      <c r="H17" t="str">
        <f t="shared" si="3"/>
        <v>&lt;string name = "Topic_15"&gt;Strangers&lt;/string&gt;</v>
      </c>
      <c r="I17" t="str">
        <f t="shared" si="4"/>
        <v>&lt;item&gt;@string/Topic_15&lt;/item&gt;</v>
      </c>
    </row>
    <row r="18" spans="1:9" x14ac:dyDescent="0.25">
      <c r="A18" s="2" t="s">
        <v>1</v>
      </c>
      <c r="B18" s="6">
        <f t="shared" si="0"/>
        <v>2</v>
      </c>
      <c r="C18" s="2" t="s">
        <v>112</v>
      </c>
      <c r="D18" s="6">
        <f t="shared" si="1"/>
        <v>2</v>
      </c>
      <c r="E18" s="11" t="s">
        <v>148</v>
      </c>
      <c r="F18">
        <f t="shared" si="2"/>
        <v>16</v>
      </c>
      <c r="H18" t="str">
        <f t="shared" si="3"/>
        <v>&lt;string name = "Topic_16"&gt;Humankind&lt;/string&gt;</v>
      </c>
      <c r="I18" t="str">
        <f t="shared" si="4"/>
        <v>&lt;item&gt;@string/Topic_16&lt;/item&gt;</v>
      </c>
    </row>
    <row r="19" spans="1:9" x14ac:dyDescent="0.25">
      <c r="A19" s="2" t="s">
        <v>1</v>
      </c>
      <c r="B19" s="6">
        <f t="shared" si="0"/>
        <v>2</v>
      </c>
      <c r="C19" s="2" t="s">
        <v>112</v>
      </c>
      <c r="D19" s="6">
        <f t="shared" si="1"/>
        <v>2</v>
      </c>
      <c r="E19" s="11" t="s">
        <v>149</v>
      </c>
      <c r="F19">
        <f t="shared" si="2"/>
        <v>17</v>
      </c>
      <c r="H19" t="str">
        <f t="shared" si="3"/>
        <v>&lt;string name = "Topic_17"&gt;Parenting&lt;/string&gt;</v>
      </c>
      <c r="I19" t="str">
        <f t="shared" si="4"/>
        <v>&lt;item&gt;@string/Topic_17&lt;/item&gt;</v>
      </c>
    </row>
    <row r="20" spans="1:9" x14ac:dyDescent="0.25">
      <c r="A20" s="2" t="s">
        <v>1</v>
      </c>
      <c r="B20" s="6">
        <f t="shared" si="0"/>
        <v>2</v>
      </c>
      <c r="C20" s="2" t="s">
        <v>112</v>
      </c>
      <c r="D20" s="6">
        <f t="shared" si="1"/>
        <v>2</v>
      </c>
      <c r="E20" s="11" t="s">
        <v>150</v>
      </c>
      <c r="F20">
        <f t="shared" si="2"/>
        <v>18</v>
      </c>
      <c r="H20" t="str">
        <f t="shared" si="3"/>
        <v>&lt;string name = "Topic_18"&gt;Coworkers&lt;/string&gt;</v>
      </c>
      <c r="I20" t="str">
        <f t="shared" si="4"/>
        <v>&lt;item&gt;@string/Topic_18&lt;/item&gt;</v>
      </c>
    </row>
    <row r="21" spans="1:9" x14ac:dyDescent="0.25">
      <c r="A21" s="2" t="s">
        <v>1</v>
      </c>
      <c r="B21" s="6">
        <f t="shared" si="0"/>
        <v>2</v>
      </c>
      <c r="C21" s="2" t="s">
        <v>112</v>
      </c>
      <c r="D21" s="6">
        <f t="shared" si="1"/>
        <v>2</v>
      </c>
      <c r="E21" s="11" t="s">
        <v>151</v>
      </c>
      <c r="F21">
        <f t="shared" si="2"/>
        <v>19</v>
      </c>
      <c r="H21" t="str">
        <f t="shared" si="3"/>
        <v>&lt;string name = "Topic_19"&gt;Engagement&lt;/string&gt;</v>
      </c>
      <c r="I21" t="str">
        <f t="shared" si="4"/>
        <v>&lt;item&gt;@string/Topic_19&lt;/item&gt;</v>
      </c>
    </row>
    <row r="22" spans="1:9" x14ac:dyDescent="0.25">
      <c r="A22" s="2" t="s">
        <v>1</v>
      </c>
      <c r="B22" s="6">
        <f t="shared" si="0"/>
        <v>2</v>
      </c>
      <c r="C22" s="2" t="s">
        <v>112</v>
      </c>
      <c r="D22" s="6">
        <f t="shared" si="1"/>
        <v>2</v>
      </c>
      <c r="E22" s="11" t="s">
        <v>46</v>
      </c>
      <c r="F22">
        <f t="shared" si="2"/>
        <v>20</v>
      </c>
      <c r="H22" t="str">
        <f t="shared" si="3"/>
        <v>&lt;string name = "Topic_20"&gt;Nature&lt;/string&gt;</v>
      </c>
      <c r="I22" t="str">
        <f t="shared" si="4"/>
        <v>&lt;item&gt;@string/Topic_20&lt;/item&gt;</v>
      </c>
    </row>
    <row r="23" spans="1:9" x14ac:dyDescent="0.25">
      <c r="A23" s="2" t="s">
        <v>1</v>
      </c>
      <c r="B23" s="6">
        <f t="shared" si="0"/>
        <v>2</v>
      </c>
      <c r="C23" s="2" t="s">
        <v>112</v>
      </c>
      <c r="D23" s="6">
        <f t="shared" si="1"/>
        <v>2</v>
      </c>
      <c r="E23" s="11" t="s">
        <v>154</v>
      </c>
      <c r="F23">
        <f t="shared" si="2"/>
        <v>21</v>
      </c>
      <c r="H23" t="str">
        <f t="shared" si="3"/>
        <v>&lt;string name = "Topic_21"&gt;Animals/Pets&lt;/string&gt;</v>
      </c>
      <c r="I23" t="str">
        <f t="shared" si="4"/>
        <v>&lt;item&gt;@string/Topic_21&lt;/item&gt;</v>
      </c>
    </row>
    <row r="24" spans="1:9" x14ac:dyDescent="0.25">
      <c r="A24" s="2" t="s">
        <v>1</v>
      </c>
      <c r="B24" s="6">
        <f t="shared" si="0"/>
        <v>2</v>
      </c>
      <c r="C24" s="2" t="s">
        <v>159</v>
      </c>
      <c r="D24" s="6">
        <f t="shared" si="1"/>
        <v>3</v>
      </c>
      <c r="E24" s="11" t="s">
        <v>160</v>
      </c>
      <c r="F24">
        <f t="shared" si="2"/>
        <v>22</v>
      </c>
      <c r="H24" t="str">
        <f t="shared" si="3"/>
        <v>&lt;string name = "Topic_22"&gt;Business&lt;/string&gt;</v>
      </c>
      <c r="I24" t="str">
        <f t="shared" si="4"/>
        <v>&lt;item&gt;@string/Topic_22&lt;/item&gt;</v>
      </c>
    </row>
    <row r="25" spans="1:9" x14ac:dyDescent="0.25">
      <c r="A25" s="2" t="s">
        <v>1</v>
      </c>
      <c r="B25" s="6">
        <f t="shared" si="0"/>
        <v>2</v>
      </c>
      <c r="C25" s="2" t="s">
        <v>159</v>
      </c>
      <c r="D25" s="6">
        <f t="shared" si="1"/>
        <v>3</v>
      </c>
      <c r="E25" s="11" t="s">
        <v>162</v>
      </c>
      <c r="F25">
        <f t="shared" si="2"/>
        <v>23</v>
      </c>
      <c r="H25" t="str">
        <f t="shared" si="3"/>
        <v>&lt;string name = "Topic_23"&gt;Learning&lt;/string&gt;</v>
      </c>
      <c r="I25" t="str">
        <f t="shared" si="4"/>
        <v>&lt;item&gt;@string/Topic_23&lt;/item&gt;</v>
      </c>
    </row>
    <row r="26" spans="1:9" x14ac:dyDescent="0.25">
      <c r="A26" s="2" t="s">
        <v>1</v>
      </c>
      <c r="B26" s="6">
        <f t="shared" si="0"/>
        <v>2</v>
      </c>
      <c r="C26" s="2" t="s">
        <v>159</v>
      </c>
      <c r="D26" s="6">
        <f t="shared" si="1"/>
        <v>3</v>
      </c>
      <c r="E26" s="11" t="s">
        <v>372</v>
      </c>
      <c r="F26">
        <f t="shared" si="2"/>
        <v>24</v>
      </c>
      <c r="H26" t="str">
        <f t="shared" si="3"/>
        <v>&lt;string name = "Topic_24"&gt;Shopping&lt;/string&gt;</v>
      </c>
      <c r="I26" t="str">
        <f t="shared" si="4"/>
        <v>&lt;item&gt;@string/Topic_24&lt;/item&gt;</v>
      </c>
    </row>
    <row r="27" spans="1:9" x14ac:dyDescent="0.25">
      <c r="A27" s="2" t="s">
        <v>1</v>
      </c>
      <c r="B27" s="6">
        <f t="shared" si="0"/>
        <v>2</v>
      </c>
      <c r="C27" s="2" t="s">
        <v>159</v>
      </c>
      <c r="D27" s="6">
        <f t="shared" si="1"/>
        <v>3</v>
      </c>
      <c r="E27" s="11" t="s">
        <v>166</v>
      </c>
      <c r="F27">
        <f t="shared" si="2"/>
        <v>25</v>
      </c>
      <c r="H27" t="str">
        <f t="shared" si="3"/>
        <v>&lt;string name = "Topic_25"&gt;Work&lt;/string&gt;</v>
      </c>
      <c r="I27" t="str">
        <f t="shared" si="4"/>
        <v>&lt;item&gt;@string/Topic_25&lt;/item&gt;</v>
      </c>
    </row>
    <row r="28" spans="1:9" x14ac:dyDescent="0.25">
      <c r="A28" s="2" t="s">
        <v>1</v>
      </c>
      <c r="B28" s="6">
        <f t="shared" si="0"/>
        <v>2</v>
      </c>
      <c r="C28" s="2" t="s">
        <v>159</v>
      </c>
      <c r="D28" s="6">
        <f t="shared" si="1"/>
        <v>3</v>
      </c>
      <c r="E28" s="11" t="s">
        <v>167</v>
      </c>
      <c r="F28">
        <f t="shared" si="2"/>
        <v>26</v>
      </c>
      <c r="H28" t="str">
        <f t="shared" si="3"/>
        <v>&lt;string name = "Topic_26"&gt;Travel&lt;/string&gt;</v>
      </c>
      <c r="I28" t="str">
        <f t="shared" si="4"/>
        <v>&lt;item&gt;@string/Topic_26&lt;/item&gt;</v>
      </c>
    </row>
    <row r="29" spans="1:9" x14ac:dyDescent="0.25">
      <c r="A29" s="2" t="s">
        <v>1</v>
      </c>
      <c r="B29" s="6">
        <f t="shared" si="0"/>
        <v>2</v>
      </c>
      <c r="C29" s="2" t="s">
        <v>159</v>
      </c>
      <c r="D29" s="6">
        <f t="shared" si="1"/>
        <v>3</v>
      </c>
      <c r="E29" s="11" t="s">
        <v>169</v>
      </c>
      <c r="F29">
        <f t="shared" si="2"/>
        <v>27</v>
      </c>
      <c r="H29" t="str">
        <f t="shared" si="3"/>
        <v>&lt;string name = "Topic_27"&gt;Home&lt;/string&gt;</v>
      </c>
      <c r="I29" t="str">
        <f t="shared" si="4"/>
        <v>&lt;item&gt;@string/Topic_27&lt;/item&gt;</v>
      </c>
    </row>
    <row r="30" spans="1:9" x14ac:dyDescent="0.25">
      <c r="A30" s="2" t="s">
        <v>1</v>
      </c>
      <c r="B30" s="6">
        <f t="shared" si="0"/>
        <v>2</v>
      </c>
      <c r="C30" s="2" t="s">
        <v>159</v>
      </c>
      <c r="D30" s="6">
        <f t="shared" si="1"/>
        <v>3</v>
      </c>
      <c r="E30" s="11" t="s">
        <v>159</v>
      </c>
      <c r="F30">
        <f t="shared" si="2"/>
        <v>28</v>
      </c>
      <c r="H30" t="str">
        <f t="shared" si="3"/>
        <v>&lt;string name = "Topic_28"&gt;Self&lt;/string&gt;</v>
      </c>
      <c r="I30" t="str">
        <f t="shared" si="4"/>
        <v>&lt;item&gt;@string/Topic_28&lt;/item&gt;</v>
      </c>
    </row>
    <row r="31" spans="1:9" x14ac:dyDescent="0.25">
      <c r="A31" s="2" t="s">
        <v>1</v>
      </c>
      <c r="B31" s="6">
        <f t="shared" si="0"/>
        <v>2</v>
      </c>
      <c r="C31" s="2" t="s">
        <v>159</v>
      </c>
      <c r="D31" s="6">
        <f t="shared" si="1"/>
        <v>3</v>
      </c>
      <c r="E31" s="11" t="s">
        <v>172</v>
      </c>
      <c r="F31">
        <f t="shared" si="2"/>
        <v>29</v>
      </c>
      <c r="H31" t="str">
        <f t="shared" si="3"/>
        <v>&lt;string name = "Topic_29"&gt;Personal space &amp; care&lt;/string&gt;</v>
      </c>
      <c r="I31" t="str">
        <f t="shared" si="4"/>
        <v>&lt;item&gt;@string/Topic_29&lt;/item&gt;</v>
      </c>
    </row>
    <row r="32" spans="1:9" x14ac:dyDescent="0.25">
      <c r="A32" s="2" t="s">
        <v>1</v>
      </c>
      <c r="B32" s="6">
        <f t="shared" si="0"/>
        <v>2</v>
      </c>
      <c r="C32" s="2" t="s">
        <v>159</v>
      </c>
      <c r="D32" s="6">
        <f t="shared" si="1"/>
        <v>3</v>
      </c>
      <c r="E32" s="11" t="s">
        <v>174</v>
      </c>
      <c r="F32">
        <f t="shared" si="2"/>
        <v>30</v>
      </c>
      <c r="H32" t="str">
        <f t="shared" si="3"/>
        <v>&lt;string name = "Topic_30"&gt;Sleep&lt;/string&gt;</v>
      </c>
      <c r="I32" t="str">
        <f t="shared" si="4"/>
        <v>&lt;item&gt;@string/Topic_30&lt;/item&gt;</v>
      </c>
    </row>
    <row r="33" spans="1:9" x14ac:dyDescent="0.25">
      <c r="A33" s="2" t="s">
        <v>1</v>
      </c>
      <c r="B33" s="6">
        <f t="shared" si="0"/>
        <v>2</v>
      </c>
      <c r="C33" s="2" t="s">
        <v>159</v>
      </c>
      <c r="D33" s="6">
        <f t="shared" si="1"/>
        <v>3</v>
      </c>
      <c r="E33" s="11" t="s">
        <v>176</v>
      </c>
      <c r="F33">
        <f t="shared" si="2"/>
        <v>31</v>
      </c>
      <c r="H33" t="str">
        <f t="shared" si="3"/>
        <v>&lt;string name = "Topic_31"&gt;Fitness&lt;/string&gt;</v>
      </c>
      <c r="I33" t="str">
        <f t="shared" si="4"/>
        <v>&lt;item&gt;@string/Topic_31&lt;/item&gt;</v>
      </c>
    </row>
    <row r="34" spans="1:9" x14ac:dyDescent="0.25">
      <c r="A34" s="2" t="s">
        <v>1</v>
      </c>
      <c r="B34" s="6">
        <f t="shared" ref="B34:B63" si="5">VLOOKUP(A34, Categories, 2, FALSE)</f>
        <v>2</v>
      </c>
      <c r="C34" s="2" t="s">
        <v>159</v>
      </c>
      <c r="D34" s="6">
        <f t="shared" ref="D34:D63" si="6">VLOOKUP(C34,Subcategories, 2, FALSE)</f>
        <v>3</v>
      </c>
      <c r="E34" s="11" t="s">
        <v>178</v>
      </c>
      <c r="F34">
        <f t="shared" si="2"/>
        <v>32</v>
      </c>
      <c r="H34" t="str">
        <f t="shared" si="3"/>
        <v>&lt;string name = "Topic_32"&gt;Health&lt;/string&gt;</v>
      </c>
      <c r="I34" t="str">
        <f t="shared" si="4"/>
        <v>&lt;item&gt;@string/Topic_32&lt;/item&gt;</v>
      </c>
    </row>
    <row r="35" spans="1:9" x14ac:dyDescent="0.25">
      <c r="A35" s="2" t="s">
        <v>1</v>
      </c>
      <c r="B35" s="6">
        <f t="shared" si="5"/>
        <v>2</v>
      </c>
      <c r="C35" s="2" t="s">
        <v>159</v>
      </c>
      <c r="D35" s="6">
        <f t="shared" si="6"/>
        <v>3</v>
      </c>
      <c r="E35" s="11" t="s">
        <v>180</v>
      </c>
      <c r="F35">
        <f t="shared" si="2"/>
        <v>33</v>
      </c>
      <c r="H35" t="str">
        <f t="shared" si="3"/>
        <v>&lt;string name = "Topic_33"&gt;Food&lt;/string&gt;</v>
      </c>
      <c r="I35" t="str">
        <f t="shared" si="4"/>
        <v>&lt;item&gt;@string/Topic_33&lt;/item&gt;</v>
      </c>
    </row>
    <row r="36" spans="1:9" x14ac:dyDescent="0.25">
      <c r="A36" s="2" t="s">
        <v>1</v>
      </c>
      <c r="B36" s="6">
        <f t="shared" si="5"/>
        <v>2</v>
      </c>
      <c r="C36" s="2" t="s">
        <v>159</v>
      </c>
      <c r="D36" s="6">
        <f t="shared" si="6"/>
        <v>3</v>
      </c>
      <c r="E36" s="11" t="s">
        <v>182</v>
      </c>
      <c r="F36">
        <f t="shared" si="2"/>
        <v>34</v>
      </c>
      <c r="H36" t="str">
        <f t="shared" si="3"/>
        <v>&lt;string name = "Topic_34"&gt;Hobbies&lt;/string&gt;</v>
      </c>
      <c r="I36" t="str">
        <f t="shared" si="4"/>
        <v>&lt;item&gt;@string/Topic_34&lt;/item&gt;</v>
      </c>
    </row>
    <row r="37" spans="1:9" x14ac:dyDescent="0.25">
      <c r="A37" s="2" t="s">
        <v>1</v>
      </c>
      <c r="B37" s="6">
        <f t="shared" si="5"/>
        <v>2</v>
      </c>
      <c r="C37" s="2" t="s">
        <v>159</v>
      </c>
      <c r="D37" s="6">
        <f t="shared" si="6"/>
        <v>3</v>
      </c>
      <c r="E37" s="11" t="s">
        <v>184</v>
      </c>
      <c r="F37">
        <f t="shared" si="2"/>
        <v>35</v>
      </c>
      <c r="H37" t="str">
        <f t="shared" si="3"/>
        <v>&lt;string name = "Topic_35"&gt;Hobbies (categories)&lt;/string&gt;</v>
      </c>
      <c r="I37" t="str">
        <f t="shared" si="4"/>
        <v>&lt;item&gt;@string/Topic_35&lt;/item&gt;</v>
      </c>
    </row>
    <row r="38" spans="1:9" x14ac:dyDescent="0.25">
      <c r="A38" s="2" t="s">
        <v>1</v>
      </c>
      <c r="B38" s="6">
        <f t="shared" si="5"/>
        <v>2</v>
      </c>
      <c r="C38" s="2" t="s">
        <v>159</v>
      </c>
      <c r="D38" s="6">
        <f t="shared" si="6"/>
        <v>3</v>
      </c>
      <c r="E38" s="11" t="s">
        <v>186</v>
      </c>
      <c r="F38">
        <f t="shared" si="2"/>
        <v>36</v>
      </c>
      <c r="H38" t="str">
        <f t="shared" si="3"/>
        <v>&lt;string name = "Topic_36"&gt;Subjects&lt;/string&gt;</v>
      </c>
      <c r="I38" t="str">
        <f t="shared" si="4"/>
        <v>&lt;item&gt;@string/Topic_36&lt;/item&gt;</v>
      </c>
    </row>
    <row r="39" spans="1:9" x14ac:dyDescent="0.25">
      <c r="A39" s="2" t="s">
        <v>1</v>
      </c>
      <c r="B39" s="6">
        <f t="shared" si="5"/>
        <v>2</v>
      </c>
      <c r="C39" s="2" t="s">
        <v>159</v>
      </c>
      <c r="D39" s="6">
        <f t="shared" si="6"/>
        <v>3</v>
      </c>
      <c r="E39" s="11" t="s">
        <v>188</v>
      </c>
      <c r="F39">
        <f t="shared" si="2"/>
        <v>37</v>
      </c>
      <c r="H39" t="str">
        <f t="shared" si="3"/>
        <v>&lt;string name = "Topic_37"&gt;Entertainment&lt;/string&gt;</v>
      </c>
      <c r="I39" t="str">
        <f t="shared" si="4"/>
        <v>&lt;item&gt;@string/Topic_37&lt;/item&gt;</v>
      </c>
    </row>
    <row r="40" spans="1:9" x14ac:dyDescent="0.25">
      <c r="A40" s="2" t="s">
        <v>1</v>
      </c>
      <c r="B40" s="6">
        <f t="shared" si="5"/>
        <v>2</v>
      </c>
      <c r="C40" s="2" t="s">
        <v>159</v>
      </c>
      <c r="D40" s="6">
        <f t="shared" si="6"/>
        <v>3</v>
      </c>
      <c r="E40" s="11" t="s">
        <v>190</v>
      </c>
      <c r="F40">
        <f t="shared" si="2"/>
        <v>38</v>
      </c>
      <c r="H40" t="str">
        <f t="shared" si="3"/>
        <v>&lt;string name = "Topic_38"&gt;Art&lt;/string&gt;</v>
      </c>
      <c r="I40" t="str">
        <f t="shared" si="4"/>
        <v>&lt;item&gt;@string/Topic_38&lt;/item&gt;</v>
      </c>
    </row>
    <row r="41" spans="1:9" x14ac:dyDescent="0.25">
      <c r="A41" s="2" t="s">
        <v>1</v>
      </c>
      <c r="B41" s="6">
        <f t="shared" si="5"/>
        <v>2</v>
      </c>
      <c r="C41" s="2" t="s">
        <v>159</v>
      </c>
      <c r="D41" s="6">
        <f t="shared" si="6"/>
        <v>3</v>
      </c>
      <c r="E41" s="11" t="s">
        <v>192</v>
      </c>
      <c r="F41">
        <f t="shared" si="2"/>
        <v>39</v>
      </c>
      <c r="H41" t="str">
        <f t="shared" si="3"/>
        <v>&lt;string name = "Topic_39"&gt;Fashion&lt;/string&gt;</v>
      </c>
      <c r="I41" t="str">
        <f t="shared" si="4"/>
        <v>&lt;item&gt;@string/Topic_39&lt;/item&gt;</v>
      </c>
    </row>
    <row r="42" spans="1:9" x14ac:dyDescent="0.25">
      <c r="A42" s="2" t="s">
        <v>1</v>
      </c>
      <c r="B42" s="6">
        <f t="shared" si="5"/>
        <v>2</v>
      </c>
      <c r="C42" s="2" t="s">
        <v>159</v>
      </c>
      <c r="D42" s="6">
        <f t="shared" si="6"/>
        <v>3</v>
      </c>
      <c r="E42" s="11" t="s">
        <v>194</v>
      </c>
      <c r="F42">
        <f t="shared" si="2"/>
        <v>40</v>
      </c>
      <c r="H42" t="str">
        <f t="shared" si="3"/>
        <v>&lt;string name = "Topic_40"&gt;Sports&lt;/string&gt;</v>
      </c>
      <c r="I42" t="str">
        <f t="shared" si="4"/>
        <v>&lt;item&gt;@string/Topic_40&lt;/item&gt;</v>
      </c>
    </row>
    <row r="43" spans="1:9" x14ac:dyDescent="0.25">
      <c r="A43" s="2" t="s">
        <v>1</v>
      </c>
      <c r="B43" s="6">
        <f t="shared" si="5"/>
        <v>2</v>
      </c>
      <c r="C43" s="2" t="s">
        <v>159</v>
      </c>
      <c r="D43" s="6">
        <f t="shared" si="6"/>
        <v>3</v>
      </c>
      <c r="E43" s="11" t="s">
        <v>196</v>
      </c>
      <c r="F43">
        <f t="shared" si="2"/>
        <v>41</v>
      </c>
      <c r="H43" t="str">
        <f t="shared" si="3"/>
        <v>&lt;string name = "Topic_41"&gt;Technology&lt;/string&gt;</v>
      </c>
      <c r="I43" t="str">
        <f t="shared" si="4"/>
        <v>&lt;item&gt;@string/Topic_41&lt;/item&gt;</v>
      </c>
    </row>
    <row r="44" spans="1:9" x14ac:dyDescent="0.25">
      <c r="A44" s="2" t="s">
        <v>1</v>
      </c>
      <c r="B44" s="6">
        <f t="shared" si="5"/>
        <v>2</v>
      </c>
      <c r="C44" s="2" t="s">
        <v>159</v>
      </c>
      <c r="D44" s="6">
        <f t="shared" si="6"/>
        <v>3</v>
      </c>
      <c r="E44" s="11" t="s">
        <v>198</v>
      </c>
      <c r="F44">
        <f t="shared" si="2"/>
        <v>42</v>
      </c>
      <c r="H44" t="str">
        <f t="shared" si="3"/>
        <v>&lt;string name = "Topic_42"&gt;Values&lt;/string&gt;</v>
      </c>
      <c r="I44" t="str">
        <f t="shared" si="4"/>
        <v>&lt;item&gt;@string/Topic_42&lt;/item&gt;</v>
      </c>
    </row>
    <row r="45" spans="1:9" x14ac:dyDescent="0.25">
      <c r="A45" s="2" t="s">
        <v>1</v>
      </c>
      <c r="B45" s="6">
        <f t="shared" si="5"/>
        <v>2</v>
      </c>
      <c r="C45" s="2" t="s">
        <v>199</v>
      </c>
      <c r="D45" s="6">
        <f t="shared" si="6"/>
        <v>4</v>
      </c>
      <c r="E45" s="11" t="s">
        <v>200</v>
      </c>
      <c r="F45">
        <f t="shared" si="2"/>
        <v>43</v>
      </c>
      <c r="H45" t="str">
        <f t="shared" si="3"/>
        <v>&lt;string name = "Topic_43"&gt;God&lt;/string&gt;</v>
      </c>
      <c r="I45" t="str">
        <f t="shared" si="4"/>
        <v>&lt;item&gt;@string/Topic_43&lt;/item&gt;</v>
      </c>
    </row>
    <row r="46" spans="1:9" x14ac:dyDescent="0.25">
      <c r="A46" s="2" t="s">
        <v>1</v>
      </c>
      <c r="B46" s="6">
        <f t="shared" si="5"/>
        <v>2</v>
      </c>
      <c r="C46" s="2" t="s">
        <v>199</v>
      </c>
      <c r="D46" s="6">
        <f t="shared" si="6"/>
        <v>4</v>
      </c>
      <c r="E46" s="11" t="s">
        <v>212</v>
      </c>
      <c r="F46">
        <f t="shared" si="2"/>
        <v>44</v>
      </c>
      <c r="H46" t="str">
        <f t="shared" si="3"/>
        <v>&lt;string name = "Topic_44"&gt;Sin&lt;/string&gt;</v>
      </c>
      <c r="I46" t="str">
        <f t="shared" si="4"/>
        <v>&lt;item&gt;@string/Topic_44&lt;/item&gt;</v>
      </c>
    </row>
    <row r="47" spans="1:9" x14ac:dyDescent="0.25">
      <c r="A47" s="2" t="s">
        <v>1</v>
      </c>
      <c r="B47" s="6">
        <f t="shared" si="5"/>
        <v>2</v>
      </c>
      <c r="C47" s="2" t="s">
        <v>199</v>
      </c>
      <c r="D47" s="6">
        <f t="shared" si="6"/>
        <v>4</v>
      </c>
      <c r="E47" s="11" t="s">
        <v>218</v>
      </c>
      <c r="F47">
        <f t="shared" si="2"/>
        <v>45</v>
      </c>
      <c r="H47" t="str">
        <f t="shared" si="3"/>
        <v>&lt;string name = "Topic_45"&gt;Finality&lt;/string&gt;</v>
      </c>
      <c r="I47" t="str">
        <f t="shared" si="4"/>
        <v>&lt;item&gt;@string/Topic_45&lt;/item&gt;</v>
      </c>
    </row>
    <row r="48" spans="1:9" x14ac:dyDescent="0.25">
      <c r="A48" s="2" t="s">
        <v>1</v>
      </c>
      <c r="B48" s="6">
        <f t="shared" si="5"/>
        <v>2</v>
      </c>
      <c r="C48" s="2" t="s">
        <v>199</v>
      </c>
      <c r="D48" s="6">
        <f t="shared" si="6"/>
        <v>4</v>
      </c>
      <c r="E48" s="11" t="s">
        <v>225</v>
      </c>
      <c r="F48">
        <f t="shared" si="2"/>
        <v>46</v>
      </c>
      <c r="H48" t="str">
        <f t="shared" si="3"/>
        <v>&lt;string name = "Topic_46"&gt;Morality&lt;/string&gt;</v>
      </c>
      <c r="I48" t="str">
        <f t="shared" si="4"/>
        <v>&lt;item&gt;@string/Topic_46&lt;/item&gt;</v>
      </c>
    </row>
    <row r="49" spans="1:9" x14ac:dyDescent="0.25">
      <c r="A49" s="2" t="s">
        <v>1</v>
      </c>
      <c r="B49" s="6">
        <f t="shared" si="5"/>
        <v>2</v>
      </c>
      <c r="C49" s="2" t="s">
        <v>199</v>
      </c>
      <c r="D49" s="6">
        <f t="shared" si="6"/>
        <v>4</v>
      </c>
      <c r="E49" s="11" t="s">
        <v>234</v>
      </c>
      <c r="F49">
        <f t="shared" si="2"/>
        <v>47</v>
      </c>
      <c r="H49" t="str">
        <f t="shared" si="3"/>
        <v>&lt;string name = "Topic_47"&gt;Human Qualities&lt;/string&gt;</v>
      </c>
      <c r="I49" t="str">
        <f t="shared" si="4"/>
        <v>&lt;item&gt;@string/Topic_47&lt;/item&gt;</v>
      </c>
    </row>
    <row r="50" spans="1:9" x14ac:dyDescent="0.25">
      <c r="A50" s="2" t="s">
        <v>1</v>
      </c>
      <c r="B50" s="6">
        <f t="shared" si="5"/>
        <v>2</v>
      </c>
      <c r="C50" s="2" t="s">
        <v>199</v>
      </c>
      <c r="D50" s="6">
        <f t="shared" si="6"/>
        <v>4</v>
      </c>
      <c r="E50" s="11" t="s">
        <v>238</v>
      </c>
      <c r="F50">
        <f t="shared" si="2"/>
        <v>48</v>
      </c>
      <c r="H50" t="str">
        <f t="shared" si="3"/>
        <v>&lt;string name = "Topic_48"&gt;Humanness&lt;/string&gt;</v>
      </c>
      <c r="I50" t="str">
        <f t="shared" si="4"/>
        <v>&lt;item&gt;@string/Topic_48&lt;/item&gt;</v>
      </c>
    </row>
    <row r="51" spans="1:9" x14ac:dyDescent="0.25">
      <c r="A51" s="2" t="s">
        <v>1</v>
      </c>
      <c r="B51" s="6">
        <f t="shared" si="5"/>
        <v>2</v>
      </c>
      <c r="C51" s="2" t="s">
        <v>199</v>
      </c>
      <c r="D51" s="6">
        <f t="shared" si="6"/>
        <v>4</v>
      </c>
      <c r="E51" s="11" t="s">
        <v>244</v>
      </c>
      <c r="F51">
        <f t="shared" si="2"/>
        <v>49</v>
      </c>
      <c r="H51" t="str">
        <f t="shared" si="3"/>
        <v>&lt;string name = "Topic_49"&gt;Organized religion&lt;/string&gt;</v>
      </c>
      <c r="I51" t="str">
        <f t="shared" si="4"/>
        <v>&lt;item&gt;@string/Topic_49&lt;/item&gt;</v>
      </c>
    </row>
    <row r="52" spans="1:9" x14ac:dyDescent="0.25">
      <c r="A52" s="2" t="s">
        <v>1</v>
      </c>
      <c r="B52" s="6">
        <f t="shared" si="5"/>
        <v>2</v>
      </c>
      <c r="C52" s="2" t="s">
        <v>199</v>
      </c>
      <c r="D52" s="6">
        <f t="shared" si="6"/>
        <v>4</v>
      </c>
      <c r="E52" s="11" t="s">
        <v>291</v>
      </c>
      <c r="F52">
        <f t="shared" si="2"/>
        <v>50</v>
      </c>
      <c r="H52" t="str">
        <f t="shared" si="3"/>
        <v>&lt;string name = "Topic_50"&gt;Spacer&lt;/string&gt;</v>
      </c>
      <c r="I52" t="str">
        <f t="shared" si="4"/>
        <v>&lt;item&gt;@string/Topic_50&lt;/item&gt;</v>
      </c>
    </row>
    <row r="53" spans="1:9" x14ac:dyDescent="0.25">
      <c r="A53" s="2" t="s">
        <v>1</v>
      </c>
      <c r="B53" s="6">
        <f t="shared" si="5"/>
        <v>2</v>
      </c>
      <c r="C53" s="2" t="s">
        <v>199</v>
      </c>
      <c r="D53" s="6">
        <f t="shared" si="6"/>
        <v>4</v>
      </c>
      <c r="E53" s="11" t="s">
        <v>255</v>
      </c>
      <c r="F53">
        <f t="shared" si="2"/>
        <v>51</v>
      </c>
      <c r="H53" t="str">
        <f t="shared" si="3"/>
        <v>&lt;string name = "Topic_51"&gt;Tenants&lt;/string&gt;</v>
      </c>
      <c r="I53" t="str">
        <f t="shared" si="4"/>
        <v>&lt;item&gt;@string/Topic_51&lt;/item&gt;</v>
      </c>
    </row>
    <row r="54" spans="1:9" x14ac:dyDescent="0.25">
      <c r="A54" s="2" t="s">
        <v>1</v>
      </c>
      <c r="B54" s="6">
        <f t="shared" si="5"/>
        <v>2</v>
      </c>
      <c r="C54" s="2" t="s">
        <v>199</v>
      </c>
      <c r="D54" s="6">
        <f t="shared" si="6"/>
        <v>4</v>
      </c>
      <c r="E54" s="11" t="s">
        <v>257</v>
      </c>
      <c r="F54">
        <f t="shared" si="2"/>
        <v>52</v>
      </c>
      <c r="H54" t="str">
        <f t="shared" si="3"/>
        <v>&lt;string name = "Topic_52"&gt;Objects&lt;/string&gt;</v>
      </c>
      <c r="I54" t="str">
        <f t="shared" si="4"/>
        <v>&lt;item&gt;@string/Topic_52&lt;/item&gt;</v>
      </c>
    </row>
    <row r="55" spans="1:9" x14ac:dyDescent="0.25">
      <c r="A55" s="2" t="s">
        <v>1</v>
      </c>
      <c r="B55" s="6">
        <f t="shared" si="5"/>
        <v>2</v>
      </c>
      <c r="C55" s="2" t="s">
        <v>199</v>
      </c>
      <c r="D55" s="6">
        <f t="shared" si="6"/>
        <v>4</v>
      </c>
      <c r="E55" s="11" t="s">
        <v>259</v>
      </c>
      <c r="F55">
        <f t="shared" si="2"/>
        <v>53</v>
      </c>
      <c r="H55" t="str">
        <f t="shared" si="3"/>
        <v>&lt;string name = "Topic_53"&gt;Written texts&lt;/string&gt;</v>
      </c>
      <c r="I55" t="str">
        <f t="shared" si="4"/>
        <v>&lt;item&gt;@string/Topic_53&lt;/item&gt;</v>
      </c>
    </row>
    <row r="56" spans="1:9" x14ac:dyDescent="0.25">
      <c r="A56" s="2" t="s">
        <v>1</v>
      </c>
      <c r="B56" s="6">
        <f t="shared" si="5"/>
        <v>2</v>
      </c>
      <c r="C56" s="2" t="s">
        <v>199</v>
      </c>
      <c r="D56" s="6">
        <f t="shared" si="6"/>
        <v>4</v>
      </c>
      <c r="E56" s="11" t="s">
        <v>261</v>
      </c>
      <c r="F56">
        <f t="shared" si="2"/>
        <v>54</v>
      </c>
      <c r="H56" t="str">
        <f t="shared" si="3"/>
        <v>&lt;string name = "Topic_54"&gt;Science/Creation&lt;/string&gt;</v>
      </c>
      <c r="I56" t="str">
        <f t="shared" si="4"/>
        <v>&lt;item&gt;@string/Topic_54&lt;/item&gt;</v>
      </c>
    </row>
    <row r="57" spans="1:9" x14ac:dyDescent="0.25">
      <c r="A57" s="2" t="s">
        <v>1</v>
      </c>
      <c r="B57" s="6">
        <f t="shared" si="5"/>
        <v>2</v>
      </c>
      <c r="C57" s="2" t="s">
        <v>270</v>
      </c>
      <c r="D57" s="6">
        <f t="shared" si="6"/>
        <v>5</v>
      </c>
      <c r="E57" s="11" t="s">
        <v>271</v>
      </c>
      <c r="F57">
        <f t="shared" si="2"/>
        <v>55</v>
      </c>
      <c r="H57" t="str">
        <f t="shared" si="3"/>
        <v>&lt;string name = "Topic_55"&gt;Legislature&lt;/string&gt;</v>
      </c>
      <c r="I57" t="str">
        <f t="shared" si="4"/>
        <v>&lt;item&gt;@string/Topic_55&lt;/item&gt;</v>
      </c>
    </row>
    <row r="58" spans="1:9" x14ac:dyDescent="0.25">
      <c r="A58" s="2" t="s">
        <v>1</v>
      </c>
      <c r="B58" s="6">
        <f t="shared" si="5"/>
        <v>2</v>
      </c>
      <c r="C58" s="2" t="s">
        <v>270</v>
      </c>
      <c r="D58" s="6">
        <f t="shared" si="6"/>
        <v>5</v>
      </c>
      <c r="E58" s="11" t="s">
        <v>273</v>
      </c>
      <c r="F58">
        <f t="shared" si="2"/>
        <v>56</v>
      </c>
      <c r="H58" t="str">
        <f t="shared" si="3"/>
        <v>&lt;string name = "Topic_56"&gt;Leadership&lt;/string&gt;</v>
      </c>
      <c r="I58" t="str">
        <f t="shared" si="4"/>
        <v>&lt;item&gt;@string/Topic_56&lt;/item&gt;</v>
      </c>
    </row>
    <row r="59" spans="1:9" x14ac:dyDescent="0.25">
      <c r="A59" s="2" t="s">
        <v>1</v>
      </c>
      <c r="B59" s="6">
        <f t="shared" si="5"/>
        <v>2</v>
      </c>
      <c r="C59" s="2" t="s">
        <v>270</v>
      </c>
      <c r="D59" s="6">
        <f t="shared" si="6"/>
        <v>5</v>
      </c>
      <c r="E59" s="11" t="s">
        <v>275</v>
      </c>
      <c r="F59">
        <f t="shared" si="2"/>
        <v>57</v>
      </c>
      <c r="H59" t="str">
        <f t="shared" si="3"/>
        <v>&lt;string name = "Topic_57"&gt;Defense&lt;/string&gt;</v>
      </c>
      <c r="I59" t="str">
        <f t="shared" si="4"/>
        <v>&lt;item&gt;@string/Topic_57&lt;/item&gt;</v>
      </c>
    </row>
    <row r="60" spans="1:9" x14ac:dyDescent="0.25">
      <c r="A60" s="2" t="s">
        <v>1</v>
      </c>
      <c r="B60" s="6">
        <f t="shared" si="5"/>
        <v>2</v>
      </c>
      <c r="C60" s="2" t="s">
        <v>270</v>
      </c>
      <c r="D60" s="6">
        <f t="shared" si="6"/>
        <v>5</v>
      </c>
      <c r="E60" s="11" t="s">
        <v>277</v>
      </c>
      <c r="F60">
        <f t="shared" si="2"/>
        <v>58</v>
      </c>
      <c r="H60" t="str">
        <f t="shared" si="3"/>
        <v>&lt;string name = "Topic_58"&gt;Economy&lt;/string&gt;</v>
      </c>
      <c r="I60" t="str">
        <f t="shared" si="4"/>
        <v>&lt;item&gt;@string/Topic_58&lt;/item&gt;</v>
      </c>
    </row>
    <row r="61" spans="1:9" x14ac:dyDescent="0.25">
      <c r="A61" s="2" t="s">
        <v>1</v>
      </c>
      <c r="B61" s="6">
        <f t="shared" si="5"/>
        <v>2</v>
      </c>
      <c r="C61" s="2" t="s">
        <v>270</v>
      </c>
      <c r="D61" s="6">
        <f t="shared" si="6"/>
        <v>5</v>
      </c>
      <c r="E61" s="11" t="s">
        <v>279</v>
      </c>
      <c r="F61">
        <f t="shared" si="2"/>
        <v>59</v>
      </c>
      <c r="H61" t="str">
        <f t="shared" si="3"/>
        <v>&lt;string name = "Topic_59"&gt;Judicial&lt;/string&gt;</v>
      </c>
      <c r="I61" t="str">
        <f t="shared" si="4"/>
        <v>&lt;item&gt;@string/Topic_59&lt;/item&gt;</v>
      </c>
    </row>
    <row r="62" spans="1:9" x14ac:dyDescent="0.25">
      <c r="A62" s="2" t="s">
        <v>1</v>
      </c>
      <c r="B62" s="6">
        <f t="shared" si="5"/>
        <v>2</v>
      </c>
      <c r="C62" s="2" t="s">
        <v>270</v>
      </c>
      <c r="D62" s="6">
        <f t="shared" si="6"/>
        <v>5</v>
      </c>
      <c r="E62" s="11" t="s">
        <v>281</v>
      </c>
      <c r="F62">
        <f t="shared" si="2"/>
        <v>60</v>
      </c>
      <c r="H62" t="str">
        <f t="shared" si="3"/>
        <v>&lt;string name = "Topic_60"&gt;Enforcement&lt;/string&gt;</v>
      </c>
      <c r="I62" t="str">
        <f t="shared" si="4"/>
        <v>&lt;item&gt;@string/Topic_60&lt;/item&gt;</v>
      </c>
    </row>
    <row r="63" spans="1:9" x14ac:dyDescent="0.25">
      <c r="A63" s="2" t="s">
        <v>1</v>
      </c>
      <c r="B63" s="6">
        <f t="shared" si="5"/>
        <v>2</v>
      </c>
      <c r="C63" s="2" t="s">
        <v>270</v>
      </c>
      <c r="D63" s="6">
        <f t="shared" si="6"/>
        <v>5</v>
      </c>
      <c r="E63" s="11" t="s">
        <v>283</v>
      </c>
      <c r="F63">
        <f t="shared" si="2"/>
        <v>61</v>
      </c>
      <c r="H63" t="str">
        <f t="shared" si="3"/>
        <v>&lt;string name = "Topic_61"&gt;Types&lt;/string&gt;</v>
      </c>
      <c r="I63" t="str">
        <f t="shared" si="4"/>
        <v>&lt;item&gt;@string/Topic_61&lt;/item&gt;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12"/>
  <sheetViews>
    <sheetView workbookViewId="0">
      <selection activeCell="G2" sqref="G2"/>
    </sheetView>
  </sheetViews>
  <sheetFormatPr defaultRowHeight="15" x14ac:dyDescent="0.25"/>
  <cols>
    <col min="1" max="1" width="14.28515625" customWidth="1"/>
    <col min="2" max="2" width="9.140625" style="7"/>
    <col min="3" max="3" width="18.42578125" customWidth="1"/>
    <col min="4" max="4" width="10.5703125" style="7" customWidth="1"/>
    <col min="5" max="5" width="26.28515625" customWidth="1"/>
    <col min="6" max="6" width="26.28515625" style="7" customWidth="1"/>
    <col min="7" max="7" width="39.28515625" customWidth="1"/>
  </cols>
  <sheetData>
    <row r="1" spans="1:7" ht="19.5" x14ac:dyDescent="0.25">
      <c r="A1" s="1" t="s">
        <v>289</v>
      </c>
      <c r="B1" s="5" t="s">
        <v>285</v>
      </c>
      <c r="C1" s="1" t="s">
        <v>287</v>
      </c>
      <c r="D1" s="5" t="s">
        <v>288</v>
      </c>
      <c r="E1" s="1" t="s">
        <v>0</v>
      </c>
      <c r="F1" s="5" t="s">
        <v>286</v>
      </c>
      <c r="G1" s="1" t="s">
        <v>295</v>
      </c>
    </row>
    <row r="2" spans="1:7" x14ac:dyDescent="0.25">
      <c r="A2" s="2" t="s">
        <v>290</v>
      </c>
      <c r="B2" s="6">
        <v>0</v>
      </c>
      <c r="C2" s="2" t="s">
        <v>2</v>
      </c>
      <c r="D2" s="6">
        <v>0</v>
      </c>
      <c r="E2" s="2" t="s">
        <v>3</v>
      </c>
      <c r="F2" s="6"/>
      <c r="G2" s="2"/>
    </row>
    <row r="3" spans="1:7" x14ac:dyDescent="0.25">
      <c r="A3" s="2" t="s">
        <v>290</v>
      </c>
      <c r="B3" s="6">
        <v>0</v>
      </c>
      <c r="C3" s="2" t="s">
        <v>2</v>
      </c>
      <c r="D3" s="6">
        <v>0</v>
      </c>
      <c r="E3" s="2" t="s">
        <v>3</v>
      </c>
      <c r="F3" s="6"/>
      <c r="G3" s="2"/>
    </row>
    <row r="4" spans="1:7" x14ac:dyDescent="0.25">
      <c r="A4" s="2" t="s">
        <v>290</v>
      </c>
      <c r="B4" s="6">
        <v>0</v>
      </c>
      <c r="C4" s="2" t="s">
        <v>2</v>
      </c>
      <c r="D4" s="6">
        <v>0</v>
      </c>
      <c r="E4" s="2" t="s">
        <v>3</v>
      </c>
      <c r="F4" s="6"/>
      <c r="G4" s="2"/>
    </row>
    <row r="5" spans="1:7" x14ac:dyDescent="0.25">
      <c r="A5" s="2" t="s">
        <v>290</v>
      </c>
      <c r="B5" s="6">
        <v>0</v>
      </c>
      <c r="C5" s="2" t="s">
        <v>2</v>
      </c>
      <c r="D5" s="6">
        <v>0</v>
      </c>
      <c r="E5" s="2" t="s">
        <v>3</v>
      </c>
      <c r="F5" s="6"/>
      <c r="G5" s="2"/>
    </row>
    <row r="6" spans="1:7" x14ac:dyDescent="0.25">
      <c r="A6" s="2" t="s">
        <v>290</v>
      </c>
      <c r="B6" s="6">
        <v>0</v>
      </c>
      <c r="C6" s="2" t="s">
        <v>2</v>
      </c>
      <c r="D6" s="6">
        <v>0</v>
      </c>
      <c r="E6" s="2" t="s">
        <v>3</v>
      </c>
      <c r="F6" s="6"/>
      <c r="G6" s="2"/>
    </row>
    <row r="7" spans="1:7" x14ac:dyDescent="0.25">
      <c r="A7" s="2" t="s">
        <v>290</v>
      </c>
      <c r="B7" s="6">
        <v>0</v>
      </c>
      <c r="C7" s="2" t="s">
        <v>2</v>
      </c>
      <c r="D7" s="6">
        <v>0</v>
      </c>
      <c r="E7" s="2" t="s">
        <v>3</v>
      </c>
      <c r="F7" s="6"/>
      <c r="G7" s="2"/>
    </row>
    <row r="8" spans="1:7" x14ac:dyDescent="0.25">
      <c r="A8" s="2" t="s">
        <v>290</v>
      </c>
      <c r="B8" s="6">
        <v>0</v>
      </c>
      <c r="C8" s="2" t="s">
        <v>2</v>
      </c>
      <c r="D8" s="6">
        <v>0</v>
      </c>
      <c r="E8" s="2" t="s">
        <v>3</v>
      </c>
      <c r="F8" s="6"/>
      <c r="G8" s="2"/>
    </row>
    <row r="9" spans="1:7" x14ac:dyDescent="0.25">
      <c r="A9" s="2" t="s">
        <v>290</v>
      </c>
      <c r="B9" s="6">
        <v>0</v>
      </c>
      <c r="C9" s="2" t="s">
        <v>2</v>
      </c>
      <c r="D9" s="6">
        <v>0</v>
      </c>
      <c r="E9" s="2" t="s">
        <v>3</v>
      </c>
      <c r="F9" s="6"/>
      <c r="G9" s="2"/>
    </row>
    <row r="10" spans="1:7" x14ac:dyDescent="0.25">
      <c r="A10" s="2" t="s">
        <v>290</v>
      </c>
      <c r="B10" s="6">
        <v>0</v>
      </c>
      <c r="C10" s="2" t="s">
        <v>2</v>
      </c>
      <c r="D10" s="6">
        <v>0</v>
      </c>
      <c r="E10" s="2" t="s">
        <v>3</v>
      </c>
      <c r="F10" s="6"/>
      <c r="G10" s="2"/>
    </row>
    <row r="11" spans="1:7" x14ac:dyDescent="0.25">
      <c r="A11" s="2" t="s">
        <v>290</v>
      </c>
      <c r="B11" s="6">
        <v>0</v>
      </c>
      <c r="C11" s="2" t="s">
        <v>2</v>
      </c>
      <c r="D11" s="6">
        <v>0</v>
      </c>
      <c r="E11" s="2" t="s">
        <v>3</v>
      </c>
      <c r="F11" s="6"/>
      <c r="G11" s="2"/>
    </row>
    <row r="12" spans="1:7" x14ac:dyDescent="0.25">
      <c r="A12" s="2" t="s">
        <v>290</v>
      </c>
      <c r="B12" s="6">
        <v>0</v>
      </c>
      <c r="C12" s="2" t="s">
        <v>2</v>
      </c>
      <c r="D12" s="6">
        <v>0</v>
      </c>
      <c r="E12" s="2" t="s">
        <v>3</v>
      </c>
      <c r="F12" s="6"/>
      <c r="G12" s="2"/>
    </row>
    <row r="13" spans="1:7" x14ac:dyDescent="0.25">
      <c r="A13" s="2" t="s">
        <v>290</v>
      </c>
      <c r="B13" s="6">
        <v>0</v>
      </c>
      <c r="C13" s="2" t="s">
        <v>2</v>
      </c>
      <c r="D13" s="6">
        <v>0</v>
      </c>
      <c r="E13" s="2" t="s">
        <v>15</v>
      </c>
      <c r="F13" s="6"/>
      <c r="G13" s="2" t="s">
        <v>2</v>
      </c>
    </row>
    <row r="14" spans="1:7" x14ac:dyDescent="0.25">
      <c r="A14" s="2" t="s">
        <v>290</v>
      </c>
      <c r="B14" s="6">
        <v>0</v>
      </c>
      <c r="C14" s="2" t="s">
        <v>2</v>
      </c>
      <c r="D14" s="6">
        <v>0</v>
      </c>
      <c r="E14" s="2" t="s">
        <v>15</v>
      </c>
      <c r="F14" s="6"/>
      <c r="G14" s="2" t="s">
        <v>2</v>
      </c>
    </row>
    <row r="15" spans="1:7" x14ac:dyDescent="0.25">
      <c r="A15" s="2" t="s">
        <v>290</v>
      </c>
      <c r="B15" s="6">
        <v>0</v>
      </c>
      <c r="C15" s="2" t="s">
        <v>2</v>
      </c>
      <c r="D15" s="6">
        <v>0</v>
      </c>
      <c r="E15" s="2" t="s">
        <v>15</v>
      </c>
      <c r="F15" s="6"/>
      <c r="G15" s="2" t="s">
        <v>2</v>
      </c>
    </row>
    <row r="16" spans="1:7" x14ac:dyDescent="0.25">
      <c r="A16" s="2" t="s">
        <v>290</v>
      </c>
      <c r="B16" s="6">
        <v>0</v>
      </c>
      <c r="C16" s="2" t="s">
        <v>2</v>
      </c>
      <c r="D16" s="6">
        <v>0</v>
      </c>
      <c r="E16" s="2" t="s">
        <v>15</v>
      </c>
      <c r="F16" s="6"/>
      <c r="G16" s="2" t="s">
        <v>2</v>
      </c>
    </row>
    <row r="17" spans="1:7" x14ac:dyDescent="0.25">
      <c r="A17" s="2" t="s">
        <v>290</v>
      </c>
      <c r="B17" s="6">
        <v>0</v>
      </c>
      <c r="C17" s="2" t="s">
        <v>2</v>
      </c>
      <c r="D17" s="6">
        <v>0</v>
      </c>
      <c r="E17" s="2" t="s">
        <v>15</v>
      </c>
      <c r="F17" s="6"/>
      <c r="G17" s="2" t="s">
        <v>2</v>
      </c>
    </row>
    <row r="18" spans="1:7" x14ac:dyDescent="0.25">
      <c r="A18" s="2" t="s">
        <v>290</v>
      </c>
      <c r="B18" s="6">
        <v>0</v>
      </c>
      <c r="C18" s="2" t="s">
        <v>2</v>
      </c>
      <c r="D18" s="6">
        <v>0</v>
      </c>
      <c r="E18" s="2" t="s">
        <v>15</v>
      </c>
      <c r="F18" s="6"/>
      <c r="G18" s="2" t="s">
        <v>2</v>
      </c>
    </row>
    <row r="19" spans="1:7" x14ac:dyDescent="0.25">
      <c r="A19" s="2" t="s">
        <v>290</v>
      </c>
      <c r="B19" s="6">
        <v>0</v>
      </c>
      <c r="C19" s="2" t="s">
        <v>2</v>
      </c>
      <c r="D19" s="6">
        <v>0</v>
      </c>
      <c r="E19" s="2" t="s">
        <v>15</v>
      </c>
      <c r="F19" s="6"/>
      <c r="G19" s="2" t="s">
        <v>2</v>
      </c>
    </row>
    <row r="20" spans="1:7" x14ac:dyDescent="0.25">
      <c r="A20" s="2" t="s">
        <v>290</v>
      </c>
      <c r="B20" s="6">
        <v>0</v>
      </c>
      <c r="C20" s="2" t="s">
        <v>2</v>
      </c>
      <c r="D20" s="6">
        <v>0</v>
      </c>
      <c r="E20" s="2" t="s">
        <v>15</v>
      </c>
      <c r="F20" s="6"/>
      <c r="G20" s="2" t="s">
        <v>2</v>
      </c>
    </row>
    <row r="21" spans="1:7" x14ac:dyDescent="0.25">
      <c r="A21" s="2" t="s">
        <v>290</v>
      </c>
      <c r="B21" s="6">
        <v>0</v>
      </c>
      <c r="C21" s="2" t="s">
        <v>2</v>
      </c>
      <c r="D21" s="6">
        <v>0</v>
      </c>
      <c r="E21" s="2" t="s">
        <v>15</v>
      </c>
      <c r="F21" s="6"/>
      <c r="G21" s="2" t="s">
        <v>2</v>
      </c>
    </row>
    <row r="22" spans="1:7" x14ac:dyDescent="0.25">
      <c r="A22" s="2" t="s">
        <v>290</v>
      </c>
      <c r="B22" s="6">
        <v>0</v>
      </c>
      <c r="C22" s="2" t="s">
        <v>2</v>
      </c>
      <c r="D22" s="6">
        <v>0</v>
      </c>
      <c r="E22" s="2" t="s">
        <v>15</v>
      </c>
      <c r="F22" s="6"/>
      <c r="G22" s="2" t="s">
        <v>2</v>
      </c>
    </row>
    <row r="23" spans="1:7" x14ac:dyDescent="0.25">
      <c r="A23" s="2" t="s">
        <v>290</v>
      </c>
      <c r="B23" s="6">
        <v>0</v>
      </c>
      <c r="C23" s="2" t="s">
        <v>2</v>
      </c>
      <c r="D23" s="6">
        <v>0</v>
      </c>
      <c r="E23" s="2" t="s">
        <v>15</v>
      </c>
      <c r="F23" s="6"/>
      <c r="G23" s="2" t="s">
        <v>25</v>
      </c>
    </row>
    <row r="24" spans="1:7" x14ac:dyDescent="0.25">
      <c r="A24" s="2" t="s">
        <v>290</v>
      </c>
      <c r="B24" s="6">
        <v>0</v>
      </c>
      <c r="C24" s="2" t="s">
        <v>2</v>
      </c>
      <c r="D24" s="6">
        <v>0</v>
      </c>
      <c r="E24" s="2" t="s">
        <v>15</v>
      </c>
      <c r="F24" s="6"/>
      <c r="G24" s="2" t="s">
        <v>25</v>
      </c>
    </row>
    <row r="25" spans="1:7" x14ac:dyDescent="0.25">
      <c r="A25" s="2" t="s">
        <v>290</v>
      </c>
      <c r="B25" s="6">
        <v>0</v>
      </c>
      <c r="C25" s="2" t="s">
        <v>2</v>
      </c>
      <c r="D25" s="6">
        <v>0</v>
      </c>
      <c r="E25" s="2" t="s">
        <v>15</v>
      </c>
      <c r="F25" s="6"/>
      <c r="G25" s="2" t="s">
        <v>25</v>
      </c>
    </row>
    <row r="26" spans="1:7" x14ac:dyDescent="0.25">
      <c r="A26" s="2" t="s">
        <v>290</v>
      </c>
      <c r="B26" s="6">
        <v>0</v>
      </c>
      <c r="C26" s="2" t="s">
        <v>2</v>
      </c>
      <c r="D26" s="6">
        <v>0</v>
      </c>
      <c r="E26" s="2" t="s">
        <v>15</v>
      </c>
      <c r="F26" s="6"/>
      <c r="G26" s="2" t="s">
        <v>25</v>
      </c>
    </row>
    <row r="27" spans="1:7" x14ac:dyDescent="0.25">
      <c r="A27" s="2" t="s">
        <v>290</v>
      </c>
      <c r="B27" s="6">
        <v>0</v>
      </c>
      <c r="C27" s="2" t="s">
        <v>2</v>
      </c>
      <c r="D27" s="6">
        <v>0</v>
      </c>
      <c r="E27" s="2" t="s">
        <v>15</v>
      </c>
      <c r="F27" s="6"/>
      <c r="G27" s="2" t="s">
        <v>25</v>
      </c>
    </row>
    <row r="28" spans="1:7" x14ac:dyDescent="0.25">
      <c r="A28" s="2" t="s">
        <v>290</v>
      </c>
      <c r="B28" s="6">
        <v>0</v>
      </c>
      <c r="C28" s="2" t="s">
        <v>2</v>
      </c>
      <c r="D28" s="6">
        <v>0</v>
      </c>
      <c r="E28" s="2" t="s">
        <v>15</v>
      </c>
      <c r="F28" s="6"/>
      <c r="G28" s="2" t="s">
        <v>25</v>
      </c>
    </row>
    <row r="29" spans="1:7" x14ac:dyDescent="0.25">
      <c r="A29" s="2" t="s">
        <v>290</v>
      </c>
      <c r="B29" s="6">
        <v>0</v>
      </c>
      <c r="C29" s="2" t="s">
        <v>2</v>
      </c>
      <c r="D29" s="6">
        <v>0</v>
      </c>
      <c r="E29" s="2" t="s">
        <v>15</v>
      </c>
      <c r="F29" s="6"/>
      <c r="G29" s="2" t="s">
        <v>32</v>
      </c>
    </row>
    <row r="30" spans="1:7" x14ac:dyDescent="0.25">
      <c r="A30" s="2" t="s">
        <v>290</v>
      </c>
      <c r="B30" s="6">
        <v>0</v>
      </c>
      <c r="C30" s="2" t="s">
        <v>2</v>
      </c>
      <c r="D30" s="6">
        <v>0</v>
      </c>
      <c r="E30" s="2" t="s">
        <v>15</v>
      </c>
      <c r="F30" s="6"/>
      <c r="G30" s="2" t="s">
        <v>32</v>
      </c>
    </row>
    <row r="31" spans="1:7" x14ac:dyDescent="0.25">
      <c r="A31" s="2" t="s">
        <v>290</v>
      </c>
      <c r="B31" s="6">
        <v>0</v>
      </c>
      <c r="C31" s="2" t="s">
        <v>2</v>
      </c>
      <c r="D31" s="6">
        <v>0</v>
      </c>
      <c r="E31" s="2" t="s">
        <v>15</v>
      </c>
      <c r="F31" s="6"/>
      <c r="G31" s="2" t="s">
        <v>32</v>
      </c>
    </row>
    <row r="32" spans="1:7" x14ac:dyDescent="0.25">
      <c r="A32" s="2" t="s">
        <v>290</v>
      </c>
      <c r="B32" s="6">
        <v>0</v>
      </c>
      <c r="C32" s="2" t="s">
        <v>2</v>
      </c>
      <c r="D32" s="6">
        <v>0</v>
      </c>
      <c r="E32" s="2" t="s">
        <v>15</v>
      </c>
      <c r="F32" s="6"/>
      <c r="G32" s="2" t="s">
        <v>32</v>
      </c>
    </row>
    <row r="33" spans="1:7" x14ac:dyDescent="0.25">
      <c r="A33" s="2" t="s">
        <v>290</v>
      </c>
      <c r="B33" s="6">
        <v>0</v>
      </c>
      <c r="C33" s="2" t="s">
        <v>2</v>
      </c>
      <c r="D33" s="6">
        <v>0</v>
      </c>
      <c r="E33" s="2" t="s">
        <v>15</v>
      </c>
      <c r="F33" s="6"/>
      <c r="G33" s="2" t="s">
        <v>32</v>
      </c>
    </row>
    <row r="34" spans="1:7" x14ac:dyDescent="0.25">
      <c r="A34" s="2" t="s">
        <v>290</v>
      </c>
      <c r="B34" s="6">
        <v>0</v>
      </c>
      <c r="C34" s="2" t="s">
        <v>2</v>
      </c>
      <c r="D34" s="6">
        <v>0</v>
      </c>
      <c r="E34" s="2" t="s">
        <v>15</v>
      </c>
      <c r="F34" s="6"/>
      <c r="G34" s="2" t="s">
        <v>32</v>
      </c>
    </row>
    <row r="35" spans="1:7" x14ac:dyDescent="0.25">
      <c r="A35" s="2" t="s">
        <v>290</v>
      </c>
      <c r="B35" s="6">
        <v>0</v>
      </c>
      <c r="C35" s="2" t="s">
        <v>2</v>
      </c>
      <c r="D35" s="6">
        <v>0</v>
      </c>
      <c r="E35" s="2" t="s">
        <v>15</v>
      </c>
      <c r="F35" s="6"/>
      <c r="G35" s="2" t="s">
        <v>32</v>
      </c>
    </row>
    <row r="36" spans="1:7" x14ac:dyDescent="0.25">
      <c r="A36" s="2" t="s">
        <v>290</v>
      </c>
      <c r="B36" s="6">
        <v>0</v>
      </c>
      <c r="C36" s="2" t="s">
        <v>2</v>
      </c>
      <c r="D36" s="6">
        <v>0</v>
      </c>
      <c r="E36" s="2" t="s">
        <v>15</v>
      </c>
      <c r="F36" s="6"/>
      <c r="G36" s="2" t="s">
        <v>32</v>
      </c>
    </row>
    <row r="37" spans="1:7" x14ac:dyDescent="0.25">
      <c r="A37" s="2" t="s">
        <v>290</v>
      </c>
      <c r="B37" s="6">
        <v>0</v>
      </c>
      <c r="C37" s="2" t="s">
        <v>2</v>
      </c>
      <c r="D37" s="6">
        <v>0</v>
      </c>
      <c r="E37" s="2" t="s">
        <v>15</v>
      </c>
      <c r="F37" s="6"/>
      <c r="G37" s="2" t="s">
        <v>32</v>
      </c>
    </row>
    <row r="38" spans="1:7" x14ac:dyDescent="0.25">
      <c r="A38" s="2" t="s">
        <v>290</v>
      </c>
      <c r="B38" s="6">
        <v>0</v>
      </c>
      <c r="C38" s="2" t="s">
        <v>2</v>
      </c>
      <c r="D38" s="6">
        <v>0</v>
      </c>
      <c r="E38" s="2" t="s">
        <v>15</v>
      </c>
      <c r="F38" s="6"/>
      <c r="G38" s="2" t="s">
        <v>32</v>
      </c>
    </row>
    <row r="39" spans="1:7" x14ac:dyDescent="0.25">
      <c r="A39" s="2" t="s">
        <v>290</v>
      </c>
      <c r="B39" s="6">
        <v>0</v>
      </c>
      <c r="C39" s="2" t="s">
        <v>2</v>
      </c>
      <c r="D39" s="6">
        <v>0</v>
      </c>
      <c r="E39" s="2" t="s">
        <v>15</v>
      </c>
      <c r="F39" s="6"/>
      <c r="G39" s="2" t="s">
        <v>43</v>
      </c>
    </row>
    <row r="40" spans="1:7" x14ac:dyDescent="0.25">
      <c r="A40" s="2" t="s">
        <v>290</v>
      </c>
      <c r="B40" s="6">
        <v>0</v>
      </c>
      <c r="C40" s="2" t="s">
        <v>2</v>
      </c>
      <c r="D40" s="6">
        <v>0</v>
      </c>
      <c r="E40" s="2" t="s">
        <v>45</v>
      </c>
      <c r="F40" s="6"/>
      <c r="G40" s="2" t="s">
        <v>46</v>
      </c>
    </row>
    <row r="41" spans="1:7" x14ac:dyDescent="0.25">
      <c r="A41" s="2" t="s">
        <v>290</v>
      </c>
      <c r="B41" s="6">
        <v>0</v>
      </c>
      <c r="C41" s="2" t="s">
        <v>2</v>
      </c>
      <c r="D41" s="6">
        <v>0</v>
      </c>
      <c r="E41" s="2" t="s">
        <v>45</v>
      </c>
      <c r="F41" s="6"/>
      <c r="G41" s="2" t="s">
        <v>46</v>
      </c>
    </row>
    <row r="42" spans="1:7" x14ac:dyDescent="0.25">
      <c r="A42" s="2" t="s">
        <v>290</v>
      </c>
      <c r="B42" s="6">
        <v>0</v>
      </c>
      <c r="C42" s="2" t="s">
        <v>2</v>
      </c>
      <c r="D42" s="6">
        <v>0</v>
      </c>
      <c r="E42" s="2" t="s">
        <v>45</v>
      </c>
      <c r="F42" s="6"/>
      <c r="G42" s="2" t="s">
        <v>46</v>
      </c>
    </row>
    <row r="43" spans="1:7" x14ac:dyDescent="0.25">
      <c r="A43" s="2" t="s">
        <v>290</v>
      </c>
      <c r="B43" s="6">
        <v>0</v>
      </c>
      <c r="C43" s="2" t="s">
        <v>2</v>
      </c>
      <c r="D43" s="6">
        <v>0</v>
      </c>
      <c r="E43" s="2" t="s">
        <v>45</v>
      </c>
      <c r="F43" s="6"/>
      <c r="G43" s="2" t="s">
        <v>50</v>
      </c>
    </row>
    <row r="44" spans="1:7" x14ac:dyDescent="0.25">
      <c r="A44" s="2" t="s">
        <v>290</v>
      </c>
      <c r="B44" s="6">
        <v>0</v>
      </c>
      <c r="C44" s="2" t="s">
        <v>2</v>
      </c>
      <c r="D44" s="6">
        <v>0</v>
      </c>
      <c r="E44" s="2" t="s">
        <v>45</v>
      </c>
      <c r="F44" s="6"/>
      <c r="G44" s="2" t="s">
        <v>50</v>
      </c>
    </row>
    <row r="45" spans="1:7" x14ac:dyDescent="0.25">
      <c r="A45" s="2" t="s">
        <v>290</v>
      </c>
      <c r="B45" s="6">
        <v>0</v>
      </c>
      <c r="C45" s="2" t="s">
        <v>2</v>
      </c>
      <c r="D45" s="6">
        <v>0</v>
      </c>
      <c r="E45" s="2" t="s">
        <v>45</v>
      </c>
      <c r="F45" s="6"/>
      <c r="G45" s="2" t="s">
        <v>50</v>
      </c>
    </row>
    <row r="46" spans="1:7" x14ac:dyDescent="0.25">
      <c r="A46" s="2" t="s">
        <v>290</v>
      </c>
      <c r="B46" s="6">
        <v>0</v>
      </c>
      <c r="C46" s="2" t="s">
        <v>2</v>
      </c>
      <c r="D46" s="6">
        <v>0</v>
      </c>
      <c r="E46" s="2" t="s">
        <v>45</v>
      </c>
      <c r="F46" s="6"/>
      <c r="G46" s="2" t="s">
        <v>50</v>
      </c>
    </row>
    <row r="47" spans="1:7" x14ac:dyDescent="0.25">
      <c r="A47" s="2" t="s">
        <v>290</v>
      </c>
      <c r="B47" s="6">
        <v>0</v>
      </c>
      <c r="C47" s="2" t="s">
        <v>2</v>
      </c>
      <c r="D47" s="6">
        <v>0</v>
      </c>
      <c r="E47" s="2" t="s">
        <v>45</v>
      </c>
      <c r="F47" s="6"/>
      <c r="G47" s="2" t="s">
        <v>50</v>
      </c>
    </row>
    <row r="48" spans="1:7" x14ac:dyDescent="0.25">
      <c r="A48" s="2" t="s">
        <v>290</v>
      </c>
      <c r="B48" s="6">
        <v>0</v>
      </c>
      <c r="C48" s="2" t="s">
        <v>2</v>
      </c>
      <c r="D48" s="6">
        <v>0</v>
      </c>
      <c r="E48" s="2" t="s">
        <v>45</v>
      </c>
      <c r="F48" s="6"/>
      <c r="G48" s="2" t="s">
        <v>50</v>
      </c>
    </row>
    <row r="49" spans="1:7" x14ac:dyDescent="0.25">
      <c r="A49" s="2" t="s">
        <v>290</v>
      </c>
      <c r="B49" s="6">
        <v>0</v>
      </c>
      <c r="C49" s="2" t="s">
        <v>2</v>
      </c>
      <c r="D49" s="6">
        <v>0</v>
      </c>
      <c r="E49" s="2" t="s">
        <v>45</v>
      </c>
      <c r="F49" s="6"/>
      <c r="G49" s="2" t="s">
        <v>50</v>
      </c>
    </row>
    <row r="50" spans="1:7" x14ac:dyDescent="0.25">
      <c r="A50" s="2" t="s">
        <v>290</v>
      </c>
      <c r="B50" s="6">
        <v>0</v>
      </c>
      <c r="C50" s="2" t="s">
        <v>2</v>
      </c>
      <c r="D50" s="6">
        <v>0</v>
      </c>
      <c r="E50" s="2" t="s">
        <v>45</v>
      </c>
      <c r="F50" s="6"/>
      <c r="G50" s="2" t="s">
        <v>58</v>
      </c>
    </row>
    <row r="51" spans="1:7" x14ac:dyDescent="0.25">
      <c r="A51" s="2" t="s">
        <v>290</v>
      </c>
      <c r="B51" s="6">
        <v>0</v>
      </c>
      <c r="C51" s="2" t="s">
        <v>2</v>
      </c>
      <c r="D51" s="6">
        <v>0</v>
      </c>
      <c r="E51" s="2" t="s">
        <v>45</v>
      </c>
      <c r="F51" s="6"/>
      <c r="G51" s="2" t="s">
        <v>58</v>
      </c>
    </row>
    <row r="52" spans="1:7" x14ac:dyDescent="0.25">
      <c r="A52" s="2" t="s">
        <v>290</v>
      </c>
      <c r="B52" s="6">
        <v>0</v>
      </c>
      <c r="C52" s="2" t="s">
        <v>2</v>
      </c>
      <c r="D52" s="6">
        <v>0</v>
      </c>
      <c r="E52" s="2" t="s">
        <v>45</v>
      </c>
      <c r="F52" s="6"/>
      <c r="G52" s="2" t="s">
        <v>58</v>
      </c>
    </row>
    <row r="53" spans="1:7" x14ac:dyDescent="0.25">
      <c r="A53" s="2" t="s">
        <v>290</v>
      </c>
      <c r="B53" s="6">
        <v>0</v>
      </c>
      <c r="C53" s="2" t="s">
        <v>2</v>
      </c>
      <c r="D53" s="6">
        <v>0</v>
      </c>
      <c r="E53" s="2" t="s">
        <v>45</v>
      </c>
      <c r="F53" s="6"/>
      <c r="G53" s="2" t="s">
        <v>58</v>
      </c>
    </row>
    <row r="54" spans="1:7" x14ac:dyDescent="0.25">
      <c r="A54" s="2" t="s">
        <v>290</v>
      </c>
      <c r="B54" s="6">
        <v>0</v>
      </c>
      <c r="C54" s="2" t="s">
        <v>2</v>
      </c>
      <c r="D54" s="6">
        <v>0</v>
      </c>
      <c r="E54" s="2" t="s">
        <v>45</v>
      </c>
      <c r="F54" s="6"/>
      <c r="G54" s="2" t="s">
        <v>58</v>
      </c>
    </row>
    <row r="55" spans="1:7" x14ac:dyDescent="0.25">
      <c r="A55" s="2" t="s">
        <v>290</v>
      </c>
      <c r="B55" s="6">
        <v>0</v>
      </c>
      <c r="C55" s="2" t="s">
        <v>2</v>
      </c>
      <c r="D55" s="6">
        <v>0</v>
      </c>
      <c r="E55" s="2" t="s">
        <v>45</v>
      </c>
      <c r="F55" s="6"/>
      <c r="G55" s="2" t="s">
        <v>64</v>
      </c>
    </row>
    <row r="56" spans="1:7" x14ac:dyDescent="0.25">
      <c r="A56" s="2" t="s">
        <v>290</v>
      </c>
      <c r="B56" s="6">
        <v>0</v>
      </c>
      <c r="C56" s="2" t="s">
        <v>2</v>
      </c>
      <c r="D56" s="6">
        <v>0</v>
      </c>
      <c r="E56" s="2" t="s">
        <v>45</v>
      </c>
      <c r="F56" s="6"/>
      <c r="G56" s="2" t="s">
        <v>64</v>
      </c>
    </row>
    <row r="57" spans="1:7" x14ac:dyDescent="0.25">
      <c r="A57" s="2" t="s">
        <v>290</v>
      </c>
      <c r="B57" s="6">
        <v>0</v>
      </c>
      <c r="C57" s="2" t="s">
        <v>2</v>
      </c>
      <c r="D57" s="6">
        <v>0</v>
      </c>
      <c r="E57" s="2" t="s">
        <v>45</v>
      </c>
      <c r="F57" s="6"/>
      <c r="G57" s="2" t="s">
        <v>64</v>
      </c>
    </row>
    <row r="58" spans="1:7" x14ac:dyDescent="0.25">
      <c r="A58" s="2" t="s">
        <v>290</v>
      </c>
      <c r="B58" s="6">
        <v>0</v>
      </c>
      <c r="C58" s="2" t="s">
        <v>2</v>
      </c>
      <c r="D58" s="6">
        <v>0</v>
      </c>
      <c r="E58" s="2" t="s">
        <v>45</v>
      </c>
      <c r="F58" s="6"/>
      <c r="G58" s="2" t="s">
        <v>64</v>
      </c>
    </row>
    <row r="59" spans="1:7" x14ac:dyDescent="0.25">
      <c r="A59" s="2" t="s">
        <v>290</v>
      </c>
      <c r="B59" s="6">
        <v>0</v>
      </c>
      <c r="C59" s="2" t="s">
        <v>2</v>
      </c>
      <c r="D59" s="6">
        <v>0</v>
      </c>
      <c r="E59" s="2" t="s">
        <v>69</v>
      </c>
      <c r="F59" s="6"/>
      <c r="G59" s="2" t="s">
        <v>70</v>
      </c>
    </row>
    <row r="60" spans="1:7" x14ac:dyDescent="0.25">
      <c r="A60" s="2" t="s">
        <v>290</v>
      </c>
      <c r="B60" s="6">
        <v>0</v>
      </c>
      <c r="C60" s="2" t="s">
        <v>2</v>
      </c>
      <c r="D60" s="6">
        <v>0</v>
      </c>
      <c r="E60" s="2" t="s">
        <v>69</v>
      </c>
      <c r="F60" s="6"/>
      <c r="G60" s="2" t="s">
        <v>70</v>
      </c>
    </row>
    <row r="61" spans="1:7" x14ac:dyDescent="0.25">
      <c r="A61" s="2" t="s">
        <v>290</v>
      </c>
      <c r="B61" s="6">
        <v>0</v>
      </c>
      <c r="C61" s="2" t="s">
        <v>2</v>
      </c>
      <c r="D61" s="6">
        <v>0</v>
      </c>
      <c r="E61" s="2" t="s">
        <v>69</v>
      </c>
      <c r="F61" s="6"/>
      <c r="G61" s="2" t="s">
        <v>73</v>
      </c>
    </row>
    <row r="62" spans="1:7" x14ac:dyDescent="0.25">
      <c r="A62" s="2" t="s">
        <v>290</v>
      </c>
      <c r="B62" s="6">
        <v>0</v>
      </c>
      <c r="C62" s="2" t="s">
        <v>2</v>
      </c>
      <c r="D62" s="6">
        <v>0</v>
      </c>
      <c r="E62" s="2" t="s">
        <v>69</v>
      </c>
      <c r="F62" s="6"/>
      <c r="G62" s="2" t="s">
        <v>74</v>
      </c>
    </row>
    <row r="63" spans="1:7" x14ac:dyDescent="0.25">
      <c r="A63" s="2" t="s">
        <v>290</v>
      </c>
      <c r="B63" s="6">
        <v>0</v>
      </c>
      <c r="C63" s="2" t="s">
        <v>2</v>
      </c>
      <c r="D63" s="6">
        <v>0</v>
      </c>
      <c r="E63" s="2" t="s">
        <v>69</v>
      </c>
      <c r="F63" s="6"/>
      <c r="G63" s="2" t="s">
        <v>75</v>
      </c>
    </row>
    <row r="64" spans="1:7" x14ac:dyDescent="0.25">
      <c r="A64" s="2" t="s">
        <v>290</v>
      </c>
      <c r="B64" s="6">
        <v>0</v>
      </c>
      <c r="C64" s="2" t="s">
        <v>2</v>
      </c>
      <c r="D64" s="6">
        <v>0</v>
      </c>
      <c r="E64" s="2" t="s">
        <v>69</v>
      </c>
      <c r="F64" s="6"/>
      <c r="G64" s="2" t="s">
        <v>76</v>
      </c>
    </row>
    <row r="65" spans="1:7" x14ac:dyDescent="0.25">
      <c r="A65" s="2" t="s">
        <v>290</v>
      </c>
      <c r="B65" s="6">
        <v>0</v>
      </c>
      <c r="C65" s="2" t="s">
        <v>2</v>
      </c>
      <c r="D65" s="6">
        <v>0</v>
      </c>
      <c r="E65" s="2" t="s">
        <v>69</v>
      </c>
      <c r="F65" s="6"/>
      <c r="G65" s="2" t="s">
        <v>77</v>
      </c>
    </row>
    <row r="66" spans="1:7" x14ac:dyDescent="0.25">
      <c r="A66" s="2" t="s">
        <v>290</v>
      </c>
      <c r="B66" s="6">
        <v>0</v>
      </c>
      <c r="C66" s="2" t="s">
        <v>2</v>
      </c>
      <c r="D66" s="6">
        <v>0</v>
      </c>
      <c r="E66" s="2" t="s">
        <v>78</v>
      </c>
      <c r="F66" s="6"/>
      <c r="G66" s="2" t="s">
        <v>79</v>
      </c>
    </row>
    <row r="67" spans="1:7" x14ac:dyDescent="0.25">
      <c r="A67" s="2" t="s">
        <v>290</v>
      </c>
      <c r="B67" s="6">
        <v>0</v>
      </c>
      <c r="C67" s="2" t="s">
        <v>2</v>
      </c>
      <c r="D67" s="6">
        <v>0</v>
      </c>
      <c r="E67" s="2" t="s">
        <v>78</v>
      </c>
      <c r="F67" s="6"/>
      <c r="G67" s="2" t="s">
        <v>79</v>
      </c>
    </row>
    <row r="68" spans="1:7" x14ac:dyDescent="0.25">
      <c r="A68" s="2" t="s">
        <v>290</v>
      </c>
      <c r="B68" s="6">
        <v>0</v>
      </c>
      <c r="C68" s="2" t="s">
        <v>2</v>
      </c>
      <c r="D68" s="6">
        <v>0</v>
      </c>
      <c r="E68" s="2" t="s">
        <v>78</v>
      </c>
      <c r="F68" s="6"/>
      <c r="G68" s="2" t="s">
        <v>79</v>
      </c>
    </row>
    <row r="69" spans="1:7" x14ac:dyDescent="0.25">
      <c r="A69" s="2" t="s">
        <v>290</v>
      </c>
      <c r="B69" s="6">
        <v>0</v>
      </c>
      <c r="C69" s="2" t="s">
        <v>2</v>
      </c>
      <c r="D69" s="6">
        <v>0</v>
      </c>
      <c r="E69" s="2" t="s">
        <v>78</v>
      </c>
      <c r="F69" s="6"/>
      <c r="G69" s="2" t="s">
        <v>79</v>
      </c>
    </row>
    <row r="70" spans="1:7" x14ac:dyDescent="0.25">
      <c r="A70" s="2" t="s">
        <v>290</v>
      </c>
      <c r="B70" s="6">
        <v>0</v>
      </c>
      <c r="C70" s="2" t="s">
        <v>2</v>
      </c>
      <c r="D70" s="6">
        <v>0</v>
      </c>
      <c r="E70" s="2" t="s">
        <v>78</v>
      </c>
      <c r="F70" s="6"/>
      <c r="G70" s="2" t="s">
        <v>83</v>
      </c>
    </row>
    <row r="71" spans="1:7" x14ac:dyDescent="0.25">
      <c r="A71" s="2" t="s">
        <v>290</v>
      </c>
      <c r="B71" s="6">
        <v>0</v>
      </c>
      <c r="C71" s="2" t="s">
        <v>2</v>
      </c>
      <c r="D71" s="6">
        <v>0</v>
      </c>
      <c r="E71" s="2" t="s">
        <v>78</v>
      </c>
      <c r="F71" s="6"/>
      <c r="G71" s="2" t="s">
        <v>84</v>
      </c>
    </row>
    <row r="72" spans="1:7" x14ac:dyDescent="0.25">
      <c r="A72" s="2" t="s">
        <v>290</v>
      </c>
      <c r="B72" s="6">
        <v>0</v>
      </c>
      <c r="C72" s="2" t="s">
        <v>2</v>
      </c>
      <c r="D72" s="6">
        <v>0</v>
      </c>
      <c r="E72" s="2"/>
      <c r="F72" s="6"/>
      <c r="G72" s="2"/>
    </row>
    <row r="73" spans="1:7" x14ac:dyDescent="0.25">
      <c r="A73" s="2" t="s">
        <v>290</v>
      </c>
      <c r="B73" s="6">
        <v>0</v>
      </c>
      <c r="C73" s="2" t="s">
        <v>2</v>
      </c>
      <c r="D73" s="6">
        <v>0</v>
      </c>
      <c r="E73" s="2"/>
      <c r="F73" s="6"/>
      <c r="G73" s="2"/>
    </row>
    <row r="74" spans="1:7" x14ac:dyDescent="0.25">
      <c r="A74" s="2" t="s">
        <v>290</v>
      </c>
      <c r="B74" s="6">
        <v>0</v>
      </c>
      <c r="C74" s="2" t="s">
        <v>85</v>
      </c>
      <c r="D74" s="6">
        <v>1</v>
      </c>
      <c r="E74" s="3" t="s">
        <v>86</v>
      </c>
      <c r="F74" s="8"/>
      <c r="G74" s="3" t="s">
        <v>87</v>
      </c>
    </row>
    <row r="75" spans="1:7" x14ac:dyDescent="0.25">
      <c r="A75" s="2" t="s">
        <v>290</v>
      </c>
      <c r="B75" s="6">
        <v>0</v>
      </c>
      <c r="C75" s="2" t="s">
        <v>85</v>
      </c>
      <c r="D75" s="6">
        <v>1</v>
      </c>
      <c r="E75" s="3" t="s">
        <v>86</v>
      </c>
      <c r="F75" s="8"/>
      <c r="G75" s="3" t="s">
        <v>87</v>
      </c>
    </row>
    <row r="76" spans="1:7" x14ac:dyDescent="0.25">
      <c r="A76" s="2" t="s">
        <v>290</v>
      </c>
      <c r="B76" s="6">
        <v>0</v>
      </c>
      <c r="C76" s="2" t="s">
        <v>85</v>
      </c>
      <c r="D76" s="6">
        <v>1</v>
      </c>
      <c r="E76" s="3" t="s">
        <v>86</v>
      </c>
      <c r="F76" s="8"/>
      <c r="G76" s="3" t="s">
        <v>87</v>
      </c>
    </row>
    <row r="77" spans="1:7" x14ac:dyDescent="0.25">
      <c r="A77" s="2" t="s">
        <v>290</v>
      </c>
      <c r="B77" s="6">
        <v>0</v>
      </c>
      <c r="C77" s="2" t="s">
        <v>85</v>
      </c>
      <c r="D77" s="6">
        <v>1</v>
      </c>
      <c r="E77" s="3" t="s">
        <v>86</v>
      </c>
      <c r="F77" s="8"/>
      <c r="G77" s="3" t="s">
        <v>87</v>
      </c>
    </row>
    <row r="78" spans="1:7" x14ac:dyDescent="0.25">
      <c r="A78" s="2" t="s">
        <v>290</v>
      </c>
      <c r="B78" s="6">
        <v>0</v>
      </c>
      <c r="C78" s="2" t="s">
        <v>85</v>
      </c>
      <c r="D78" s="6">
        <v>1</v>
      </c>
      <c r="E78" s="2" t="s">
        <v>92</v>
      </c>
      <c r="F78" s="6"/>
      <c r="G78" s="2" t="s">
        <v>93</v>
      </c>
    </row>
    <row r="79" spans="1:7" x14ac:dyDescent="0.25">
      <c r="A79" s="2" t="s">
        <v>290</v>
      </c>
      <c r="B79" s="6">
        <v>0</v>
      </c>
      <c r="C79" s="2" t="s">
        <v>85</v>
      </c>
      <c r="D79" s="6">
        <v>1</v>
      </c>
      <c r="E79" s="2" t="s">
        <v>92</v>
      </c>
      <c r="F79" s="6"/>
      <c r="G79" s="2" t="s">
        <v>93</v>
      </c>
    </row>
    <row r="80" spans="1:7" x14ac:dyDescent="0.25">
      <c r="A80" s="2" t="s">
        <v>290</v>
      </c>
      <c r="B80" s="6">
        <v>0</v>
      </c>
      <c r="C80" s="2" t="s">
        <v>85</v>
      </c>
      <c r="D80" s="6">
        <v>1</v>
      </c>
      <c r="E80" s="2" t="s">
        <v>92</v>
      </c>
      <c r="F80" s="6"/>
      <c r="G80" s="2" t="s">
        <v>93</v>
      </c>
    </row>
    <row r="81" spans="1:7" x14ac:dyDescent="0.25">
      <c r="A81" s="2" t="s">
        <v>290</v>
      </c>
      <c r="B81" s="6">
        <v>0</v>
      </c>
      <c r="C81" s="2" t="s">
        <v>85</v>
      </c>
      <c r="D81" s="6">
        <v>1</v>
      </c>
      <c r="E81" s="2" t="s">
        <v>92</v>
      </c>
      <c r="F81" s="6"/>
      <c r="G81" s="2" t="s">
        <v>93</v>
      </c>
    </row>
    <row r="82" spans="1:7" x14ac:dyDescent="0.25">
      <c r="A82" s="2" t="s">
        <v>290</v>
      </c>
      <c r="B82" s="6">
        <v>0</v>
      </c>
      <c r="C82" s="2" t="s">
        <v>85</v>
      </c>
      <c r="D82" s="6">
        <v>1</v>
      </c>
      <c r="E82" s="2" t="s">
        <v>92</v>
      </c>
      <c r="F82" s="6"/>
      <c r="G82" s="2" t="s">
        <v>93</v>
      </c>
    </row>
    <row r="83" spans="1:7" x14ac:dyDescent="0.25">
      <c r="A83" s="2" t="s">
        <v>290</v>
      </c>
      <c r="B83" s="6">
        <v>0</v>
      </c>
      <c r="C83" s="2" t="s">
        <v>85</v>
      </c>
      <c r="D83" s="6">
        <v>1</v>
      </c>
      <c r="E83" s="2" t="s">
        <v>92</v>
      </c>
      <c r="F83" s="6"/>
      <c r="G83" s="2" t="s">
        <v>93</v>
      </c>
    </row>
    <row r="84" spans="1:7" ht="45" x14ac:dyDescent="0.25">
      <c r="A84" s="2" t="s">
        <v>290</v>
      </c>
      <c r="B84" s="6">
        <v>0</v>
      </c>
      <c r="C84" s="2" t="s">
        <v>85</v>
      </c>
      <c r="D84" s="6">
        <v>1</v>
      </c>
      <c r="E84" s="2" t="s">
        <v>100</v>
      </c>
      <c r="F84" s="6"/>
      <c r="G84" s="2" t="s">
        <v>101</v>
      </c>
    </row>
    <row r="85" spans="1:7" ht="45" x14ac:dyDescent="0.25">
      <c r="A85" s="2" t="s">
        <v>290</v>
      </c>
      <c r="B85" s="6">
        <v>0</v>
      </c>
      <c r="C85" s="2" t="s">
        <v>85</v>
      </c>
      <c r="D85" s="6">
        <v>1</v>
      </c>
      <c r="E85" s="2" t="s">
        <v>100</v>
      </c>
      <c r="F85" s="6"/>
      <c r="G85" s="2" t="s">
        <v>101</v>
      </c>
    </row>
    <row r="86" spans="1:7" ht="45" x14ac:dyDescent="0.25">
      <c r="A86" s="2" t="s">
        <v>290</v>
      </c>
      <c r="B86" s="6">
        <v>0</v>
      </c>
      <c r="C86" s="2" t="s">
        <v>85</v>
      </c>
      <c r="D86" s="6">
        <v>1</v>
      </c>
      <c r="E86" s="2" t="s">
        <v>100</v>
      </c>
      <c r="F86" s="6"/>
      <c r="G86" s="2" t="s">
        <v>101</v>
      </c>
    </row>
    <row r="87" spans="1:7" ht="45" x14ac:dyDescent="0.25">
      <c r="A87" s="2" t="s">
        <v>290</v>
      </c>
      <c r="B87" s="6">
        <v>0</v>
      </c>
      <c r="C87" s="2" t="s">
        <v>85</v>
      </c>
      <c r="D87" s="6">
        <v>1</v>
      </c>
      <c r="E87" s="2" t="s">
        <v>100</v>
      </c>
      <c r="F87" s="6"/>
      <c r="G87" s="2" t="s">
        <v>101</v>
      </c>
    </row>
    <row r="88" spans="1:7" ht="45" x14ac:dyDescent="0.25">
      <c r="A88" s="2" t="s">
        <v>290</v>
      </c>
      <c r="B88" s="6">
        <v>0</v>
      </c>
      <c r="C88" s="2" t="s">
        <v>85</v>
      </c>
      <c r="D88" s="6">
        <v>1</v>
      </c>
      <c r="E88" s="2" t="s">
        <v>100</v>
      </c>
      <c r="F88" s="6"/>
      <c r="G88" s="2" t="s">
        <v>101</v>
      </c>
    </row>
    <row r="89" spans="1:7" ht="45" x14ac:dyDescent="0.25">
      <c r="A89" s="2" t="s">
        <v>290</v>
      </c>
      <c r="B89" s="6">
        <v>0</v>
      </c>
      <c r="C89" s="2" t="s">
        <v>85</v>
      </c>
      <c r="D89" s="6">
        <v>1</v>
      </c>
      <c r="E89" s="2" t="s">
        <v>100</v>
      </c>
      <c r="F89" s="6"/>
      <c r="G89" s="2" t="s">
        <v>101</v>
      </c>
    </row>
    <row r="90" spans="1:7" ht="45" x14ac:dyDescent="0.25">
      <c r="A90" s="2" t="s">
        <v>290</v>
      </c>
      <c r="B90" s="6">
        <v>0</v>
      </c>
      <c r="C90" s="2" t="s">
        <v>85</v>
      </c>
      <c r="D90" s="6">
        <v>1</v>
      </c>
      <c r="E90" s="2" t="s">
        <v>100</v>
      </c>
      <c r="F90" s="6"/>
      <c r="G90" s="2" t="s">
        <v>101</v>
      </c>
    </row>
    <row r="91" spans="1:7" ht="45" x14ac:dyDescent="0.25">
      <c r="A91" s="2" t="s">
        <v>290</v>
      </c>
      <c r="B91" s="6">
        <v>0</v>
      </c>
      <c r="C91" s="2" t="s">
        <v>85</v>
      </c>
      <c r="D91" s="6">
        <v>1</v>
      </c>
      <c r="E91" s="2" t="s">
        <v>100</v>
      </c>
      <c r="F91" s="6"/>
      <c r="G91" s="2" t="s">
        <v>101</v>
      </c>
    </row>
    <row r="92" spans="1:7" ht="45" x14ac:dyDescent="0.25">
      <c r="A92" s="2" t="s">
        <v>290</v>
      </c>
      <c r="B92" s="6">
        <v>0</v>
      </c>
      <c r="C92" s="2" t="s">
        <v>85</v>
      </c>
      <c r="D92" s="6">
        <v>1</v>
      </c>
      <c r="E92" s="2" t="s">
        <v>100</v>
      </c>
      <c r="F92" s="6"/>
      <c r="G92" s="2" t="s">
        <v>101</v>
      </c>
    </row>
    <row r="93" spans="1:7" x14ac:dyDescent="0.25">
      <c r="A93" s="2" t="s">
        <v>290</v>
      </c>
      <c r="B93" s="6">
        <v>0</v>
      </c>
      <c r="C93" s="2" t="s">
        <v>85</v>
      </c>
      <c r="D93" s="6">
        <v>1</v>
      </c>
      <c r="E93" s="2" t="s">
        <v>110</v>
      </c>
      <c r="F93" s="6"/>
      <c r="G93" s="2" t="s">
        <v>111</v>
      </c>
    </row>
    <row r="94" spans="1:7" ht="30" x14ac:dyDescent="0.25">
      <c r="A94" s="2" t="s">
        <v>290</v>
      </c>
      <c r="B94" s="6">
        <v>0</v>
      </c>
      <c r="C94" s="2" t="s">
        <v>85</v>
      </c>
      <c r="D94" s="6">
        <v>1</v>
      </c>
      <c r="E94" s="2" t="s">
        <v>112</v>
      </c>
      <c r="F94" s="6"/>
      <c r="G94" s="2" t="s">
        <v>113</v>
      </c>
    </row>
    <row r="95" spans="1:7" x14ac:dyDescent="0.25">
      <c r="A95" s="2" t="s">
        <v>290</v>
      </c>
      <c r="B95" s="6">
        <v>0</v>
      </c>
      <c r="C95" s="2" t="s">
        <v>85</v>
      </c>
      <c r="D95" s="6">
        <v>1</v>
      </c>
      <c r="E95" s="2" t="s">
        <v>114</v>
      </c>
      <c r="F95" s="6"/>
      <c r="G95" s="2" t="s">
        <v>115</v>
      </c>
    </row>
    <row r="96" spans="1:7" ht="16.5" x14ac:dyDescent="0.25">
      <c r="A96" s="2" t="s">
        <v>290</v>
      </c>
      <c r="B96" s="6">
        <v>0</v>
      </c>
      <c r="C96" s="2" t="s">
        <v>116</v>
      </c>
      <c r="D96" s="6">
        <v>2</v>
      </c>
      <c r="E96" s="4" t="s">
        <v>117</v>
      </c>
      <c r="F96" s="9"/>
      <c r="G96" s="2" t="s">
        <v>118</v>
      </c>
    </row>
    <row r="97" spans="1:7" ht="16.5" x14ac:dyDescent="0.25">
      <c r="A97" s="2" t="s">
        <v>290</v>
      </c>
      <c r="B97" s="6">
        <v>0</v>
      </c>
      <c r="C97" s="2" t="s">
        <v>116</v>
      </c>
      <c r="D97" s="6">
        <v>2</v>
      </c>
      <c r="E97" s="4" t="s">
        <v>117</v>
      </c>
      <c r="F97" s="9"/>
      <c r="G97" s="2" t="s">
        <v>118</v>
      </c>
    </row>
    <row r="98" spans="1:7" ht="16.5" x14ac:dyDescent="0.25">
      <c r="A98" s="2" t="s">
        <v>290</v>
      </c>
      <c r="B98" s="6">
        <v>0</v>
      </c>
      <c r="C98" s="2" t="s">
        <v>116</v>
      </c>
      <c r="D98" s="6">
        <v>2</v>
      </c>
      <c r="E98" s="4" t="s">
        <v>117</v>
      </c>
      <c r="F98" s="9"/>
      <c r="G98" s="2" t="s">
        <v>118</v>
      </c>
    </row>
    <row r="99" spans="1:7" ht="16.5" x14ac:dyDescent="0.25">
      <c r="A99" s="2" t="s">
        <v>290</v>
      </c>
      <c r="B99" s="6">
        <v>0</v>
      </c>
      <c r="C99" s="2" t="s">
        <v>116</v>
      </c>
      <c r="D99" s="6">
        <v>2</v>
      </c>
      <c r="E99" s="4" t="s">
        <v>117</v>
      </c>
      <c r="F99" s="9"/>
      <c r="G99" s="2" t="s">
        <v>118</v>
      </c>
    </row>
    <row r="100" spans="1:7" ht="16.5" x14ac:dyDescent="0.25">
      <c r="A100" s="2" t="s">
        <v>290</v>
      </c>
      <c r="B100" s="6">
        <v>0</v>
      </c>
      <c r="C100" s="2" t="s">
        <v>116</v>
      </c>
      <c r="D100" s="6">
        <v>2</v>
      </c>
      <c r="E100" s="4" t="s">
        <v>117</v>
      </c>
      <c r="F100" s="9"/>
      <c r="G100" s="2" t="s">
        <v>118</v>
      </c>
    </row>
    <row r="101" spans="1:7" ht="16.5" x14ac:dyDescent="0.25">
      <c r="A101" s="2" t="s">
        <v>290</v>
      </c>
      <c r="B101" s="6">
        <v>0</v>
      </c>
      <c r="C101" s="2" t="s">
        <v>116</v>
      </c>
      <c r="D101" s="6">
        <v>2</v>
      </c>
      <c r="E101" s="4" t="s">
        <v>117</v>
      </c>
      <c r="F101" s="9"/>
      <c r="G101" s="2" t="s">
        <v>118</v>
      </c>
    </row>
    <row r="102" spans="1:7" ht="16.5" x14ac:dyDescent="0.25">
      <c r="A102" s="2" t="s">
        <v>290</v>
      </c>
      <c r="B102" s="6">
        <v>0</v>
      </c>
      <c r="C102" s="2" t="s">
        <v>116</v>
      </c>
      <c r="D102" s="6">
        <v>2</v>
      </c>
      <c r="E102" s="4" t="s">
        <v>117</v>
      </c>
      <c r="F102" s="9"/>
      <c r="G102" s="2" t="s">
        <v>118</v>
      </c>
    </row>
    <row r="103" spans="1:7" ht="16.5" x14ac:dyDescent="0.25">
      <c r="A103" s="2" t="s">
        <v>290</v>
      </c>
      <c r="B103" s="6">
        <v>0</v>
      </c>
      <c r="C103" s="2" t="s">
        <v>116</v>
      </c>
      <c r="D103" s="6">
        <v>2</v>
      </c>
      <c r="E103" s="4" t="s">
        <v>117</v>
      </c>
      <c r="F103" s="9"/>
      <c r="G103" s="2" t="s">
        <v>118</v>
      </c>
    </row>
    <row r="104" spans="1:7" ht="16.5" x14ac:dyDescent="0.25">
      <c r="A104" s="2" t="s">
        <v>290</v>
      </c>
      <c r="B104" s="6">
        <v>0</v>
      </c>
      <c r="C104" s="2" t="s">
        <v>116</v>
      </c>
      <c r="D104" s="6">
        <v>2</v>
      </c>
      <c r="E104" s="4" t="s">
        <v>117</v>
      </c>
      <c r="F104" s="9"/>
      <c r="G104" s="2" t="s">
        <v>118</v>
      </c>
    </row>
    <row r="105" spans="1:7" ht="16.5" x14ac:dyDescent="0.25">
      <c r="A105" s="2" t="s">
        <v>290</v>
      </c>
      <c r="B105" s="6">
        <v>0</v>
      </c>
      <c r="C105" s="2" t="s">
        <v>116</v>
      </c>
      <c r="D105" s="6">
        <v>2</v>
      </c>
      <c r="E105" s="4" t="s">
        <v>117</v>
      </c>
      <c r="F105" s="9"/>
      <c r="G105" s="2" t="s">
        <v>118</v>
      </c>
    </row>
    <row r="106" spans="1:7" ht="16.5" x14ac:dyDescent="0.25">
      <c r="A106" s="2" t="s">
        <v>290</v>
      </c>
      <c r="B106" s="6">
        <v>0</v>
      </c>
      <c r="C106" s="2" t="s">
        <v>116</v>
      </c>
      <c r="D106" s="6">
        <v>2</v>
      </c>
      <c r="E106" s="4" t="s">
        <v>128</v>
      </c>
      <c r="F106" s="9"/>
      <c r="G106" s="2"/>
    </row>
    <row r="107" spans="1:7" ht="16.5" x14ac:dyDescent="0.25">
      <c r="A107" s="2" t="s">
        <v>290</v>
      </c>
      <c r="B107" s="6">
        <v>0</v>
      </c>
      <c r="C107" s="2" t="s">
        <v>116</v>
      </c>
      <c r="D107" s="6">
        <v>2</v>
      </c>
      <c r="E107" s="4" t="s">
        <v>128</v>
      </c>
      <c r="F107" s="9"/>
      <c r="G107" s="2"/>
    </row>
    <row r="108" spans="1:7" ht="16.5" x14ac:dyDescent="0.25">
      <c r="A108" s="2" t="s">
        <v>290</v>
      </c>
      <c r="B108" s="6">
        <v>0</v>
      </c>
      <c r="C108" s="2" t="s">
        <v>116</v>
      </c>
      <c r="D108" s="6">
        <v>2</v>
      </c>
      <c r="E108" s="4" t="s">
        <v>128</v>
      </c>
      <c r="F108" s="9"/>
      <c r="G108" s="2"/>
    </row>
    <row r="109" spans="1:7" ht="16.5" x14ac:dyDescent="0.25">
      <c r="A109" s="2" t="s">
        <v>290</v>
      </c>
      <c r="B109" s="6">
        <v>0</v>
      </c>
      <c r="C109" s="2" t="s">
        <v>116</v>
      </c>
      <c r="D109" s="6">
        <v>2</v>
      </c>
      <c r="E109" s="4" t="s">
        <v>128</v>
      </c>
      <c r="F109" s="9"/>
      <c r="G109" s="2"/>
    </row>
    <row r="110" spans="1:7" ht="16.5" x14ac:dyDescent="0.25">
      <c r="A110" s="2" t="s">
        <v>290</v>
      </c>
      <c r="B110" s="6">
        <v>0</v>
      </c>
      <c r="C110" s="2" t="s">
        <v>116</v>
      </c>
      <c r="D110" s="6">
        <v>2</v>
      </c>
      <c r="E110" s="4" t="s">
        <v>128</v>
      </c>
      <c r="F110" s="9"/>
      <c r="G110" s="2"/>
    </row>
    <row r="111" spans="1:7" ht="16.5" x14ac:dyDescent="0.25">
      <c r="A111" s="2" t="s">
        <v>290</v>
      </c>
      <c r="B111" s="6">
        <v>0</v>
      </c>
      <c r="C111" s="2" t="s">
        <v>116</v>
      </c>
      <c r="D111" s="6">
        <v>2</v>
      </c>
      <c r="E111" s="4" t="s">
        <v>128</v>
      </c>
      <c r="F111" s="9"/>
      <c r="G111" s="2"/>
    </row>
    <row r="112" spans="1:7" ht="16.5" x14ac:dyDescent="0.25">
      <c r="A112" s="2" t="s">
        <v>290</v>
      </c>
      <c r="B112" s="6">
        <v>0</v>
      </c>
      <c r="C112" s="2" t="s">
        <v>116</v>
      </c>
      <c r="D112" s="6">
        <v>2</v>
      </c>
      <c r="E112" s="4" t="s">
        <v>128</v>
      </c>
      <c r="F112" s="9"/>
      <c r="G112" s="2"/>
    </row>
    <row r="113" spans="1:7" ht="16.5" x14ac:dyDescent="0.25">
      <c r="A113" s="2" t="s">
        <v>290</v>
      </c>
      <c r="B113" s="6">
        <v>0</v>
      </c>
      <c r="C113" s="2" t="s">
        <v>116</v>
      </c>
      <c r="D113" s="6">
        <v>2</v>
      </c>
      <c r="E113" s="4" t="s">
        <v>128</v>
      </c>
      <c r="F113" s="9"/>
      <c r="G113" s="2"/>
    </row>
    <row r="114" spans="1:7" ht="16.5" x14ac:dyDescent="0.25">
      <c r="A114" s="2" t="s">
        <v>290</v>
      </c>
      <c r="B114" s="6">
        <v>0</v>
      </c>
      <c r="C114" s="2" t="s">
        <v>116</v>
      </c>
      <c r="D114" s="6">
        <v>2</v>
      </c>
      <c r="E114" s="4" t="s">
        <v>128</v>
      </c>
      <c r="F114" s="9"/>
      <c r="G114" s="2"/>
    </row>
    <row r="115" spans="1:7" ht="16.5" x14ac:dyDescent="0.25">
      <c r="A115" s="2" t="s">
        <v>290</v>
      </c>
      <c r="B115" s="6">
        <v>0</v>
      </c>
      <c r="C115" s="2" t="s">
        <v>116</v>
      </c>
      <c r="D115" s="6">
        <v>2</v>
      </c>
      <c r="E115" s="4" t="s">
        <v>138</v>
      </c>
      <c r="F115" s="9"/>
      <c r="G115" s="2"/>
    </row>
    <row r="116" spans="1:7" ht="16.5" x14ac:dyDescent="0.25">
      <c r="A116" s="2" t="s">
        <v>290</v>
      </c>
      <c r="B116" s="6">
        <v>0</v>
      </c>
      <c r="C116" s="2" t="s">
        <v>116</v>
      </c>
      <c r="D116" s="6">
        <v>2</v>
      </c>
      <c r="E116" s="4" t="s">
        <v>138</v>
      </c>
      <c r="F116" s="9"/>
      <c r="G116" s="2"/>
    </row>
    <row r="117" spans="1:7" ht="16.5" x14ac:dyDescent="0.25">
      <c r="A117" s="2" t="s">
        <v>290</v>
      </c>
      <c r="B117" s="6">
        <v>0</v>
      </c>
      <c r="C117" s="2" t="s">
        <v>116</v>
      </c>
      <c r="D117" s="6">
        <v>2</v>
      </c>
      <c r="E117" s="4" t="s">
        <v>138</v>
      </c>
      <c r="F117" s="9"/>
      <c r="G117" s="2"/>
    </row>
    <row r="118" spans="1:7" ht="16.5" x14ac:dyDescent="0.25">
      <c r="A118" s="2" t="s">
        <v>290</v>
      </c>
      <c r="B118" s="6">
        <v>0</v>
      </c>
      <c r="C118" s="2" t="s">
        <v>116</v>
      </c>
      <c r="D118" s="6">
        <v>2</v>
      </c>
      <c r="E118" s="4" t="s">
        <v>138</v>
      </c>
      <c r="F118" s="9"/>
      <c r="G118" s="2"/>
    </row>
    <row r="119" spans="1:7" ht="16.5" x14ac:dyDescent="0.25">
      <c r="A119" s="2" t="s">
        <v>290</v>
      </c>
      <c r="B119" s="6">
        <v>0</v>
      </c>
      <c r="C119" s="2" t="s">
        <v>116</v>
      </c>
      <c r="D119" s="6">
        <v>2</v>
      </c>
      <c r="E119" s="4" t="s">
        <v>138</v>
      </c>
      <c r="F119" s="9"/>
      <c r="G119" s="2"/>
    </row>
    <row r="120" spans="1:7" ht="16.5" x14ac:dyDescent="0.25">
      <c r="A120" s="2" t="s">
        <v>290</v>
      </c>
      <c r="B120" s="6">
        <v>0</v>
      </c>
      <c r="C120" s="2" t="s">
        <v>116</v>
      </c>
      <c r="D120" s="6">
        <v>2</v>
      </c>
      <c r="E120" s="4" t="s">
        <v>138</v>
      </c>
      <c r="F120" s="9"/>
      <c r="G120" s="2"/>
    </row>
    <row r="121" spans="1:7" ht="16.5" x14ac:dyDescent="0.25">
      <c r="A121" s="2" t="s">
        <v>290</v>
      </c>
      <c r="B121" s="6">
        <v>0</v>
      </c>
      <c r="C121" s="2" t="s">
        <v>116</v>
      </c>
      <c r="D121" s="6">
        <v>2</v>
      </c>
      <c r="E121" s="4" t="s">
        <v>138</v>
      </c>
      <c r="F121" s="9"/>
      <c r="G121" s="2"/>
    </row>
    <row r="122" spans="1:7" ht="16.5" x14ac:dyDescent="0.25">
      <c r="A122" s="2" t="s">
        <v>290</v>
      </c>
      <c r="B122" s="6">
        <v>0</v>
      </c>
      <c r="C122" s="2" t="s">
        <v>116</v>
      </c>
      <c r="D122" s="6">
        <v>2</v>
      </c>
      <c r="E122" s="4" t="s">
        <v>146</v>
      </c>
      <c r="F122" s="9"/>
      <c r="G122" s="2"/>
    </row>
    <row r="123" spans="1:7" ht="16.5" x14ac:dyDescent="0.25">
      <c r="A123" s="2" t="s">
        <v>290</v>
      </c>
      <c r="B123" s="6">
        <v>0</v>
      </c>
      <c r="C123" s="2" t="s">
        <v>116</v>
      </c>
      <c r="D123" s="6">
        <v>2</v>
      </c>
      <c r="E123" s="4" t="s">
        <v>147</v>
      </c>
      <c r="F123" s="9"/>
      <c r="G123" s="2"/>
    </row>
    <row r="124" spans="1:7" ht="16.5" x14ac:dyDescent="0.25">
      <c r="A124" s="2" t="s">
        <v>290</v>
      </c>
      <c r="B124" s="6">
        <v>0</v>
      </c>
      <c r="C124" s="2" t="s">
        <v>116</v>
      </c>
      <c r="D124" s="6">
        <v>2</v>
      </c>
      <c r="E124" s="4" t="s">
        <v>148</v>
      </c>
      <c r="F124" s="9"/>
      <c r="G124" s="2"/>
    </row>
    <row r="125" spans="1:7" ht="16.5" x14ac:dyDescent="0.25">
      <c r="A125" s="2" t="s">
        <v>290</v>
      </c>
      <c r="B125" s="6">
        <v>0</v>
      </c>
      <c r="C125" s="2" t="s">
        <v>116</v>
      </c>
      <c r="D125" s="6">
        <v>2</v>
      </c>
      <c r="E125" s="4" t="s">
        <v>149</v>
      </c>
      <c r="F125" s="9"/>
      <c r="G125" s="2"/>
    </row>
    <row r="126" spans="1:7" ht="16.5" x14ac:dyDescent="0.25">
      <c r="A126" s="2" t="s">
        <v>290</v>
      </c>
      <c r="B126" s="6">
        <v>0</v>
      </c>
      <c r="C126" s="2" t="s">
        <v>116</v>
      </c>
      <c r="D126" s="6">
        <v>2</v>
      </c>
      <c r="E126" s="4" t="s">
        <v>150</v>
      </c>
      <c r="F126" s="9"/>
      <c r="G126" s="2"/>
    </row>
    <row r="127" spans="1:7" ht="16.5" x14ac:dyDescent="0.25">
      <c r="A127" s="2" t="s">
        <v>290</v>
      </c>
      <c r="B127" s="6">
        <v>0</v>
      </c>
      <c r="C127" s="2" t="s">
        <v>116</v>
      </c>
      <c r="D127" s="6">
        <v>2</v>
      </c>
      <c r="E127" s="4" t="s">
        <v>151</v>
      </c>
      <c r="F127" s="9"/>
      <c r="G127" s="2" t="s">
        <v>152</v>
      </c>
    </row>
    <row r="128" spans="1:7" ht="16.5" x14ac:dyDescent="0.25">
      <c r="A128" s="2" t="s">
        <v>290</v>
      </c>
      <c r="B128" s="6">
        <v>0</v>
      </c>
      <c r="C128" s="2" t="s">
        <v>116</v>
      </c>
      <c r="D128" s="6">
        <v>2</v>
      </c>
      <c r="E128" s="4" t="s">
        <v>46</v>
      </c>
      <c r="F128" s="9"/>
      <c r="G128" s="2"/>
    </row>
    <row r="129" spans="1:7" ht="16.5" x14ac:dyDescent="0.25">
      <c r="A129" s="2" t="s">
        <v>290</v>
      </c>
      <c r="B129" s="6">
        <v>0</v>
      </c>
      <c r="C129" s="2" t="s">
        <v>116</v>
      </c>
      <c r="D129" s="6">
        <v>2</v>
      </c>
      <c r="E129" s="4" t="s">
        <v>154</v>
      </c>
      <c r="F129" s="9"/>
      <c r="G129" s="2" t="s">
        <v>155</v>
      </c>
    </row>
    <row r="130" spans="1:7" ht="16.5" x14ac:dyDescent="0.25">
      <c r="A130" s="2" t="s">
        <v>290</v>
      </c>
      <c r="B130" s="6">
        <v>0</v>
      </c>
      <c r="C130" s="2" t="s">
        <v>116</v>
      </c>
      <c r="D130" s="6">
        <v>2</v>
      </c>
      <c r="E130" s="4" t="s">
        <v>154</v>
      </c>
      <c r="F130" s="9"/>
      <c r="G130" s="2" t="s">
        <v>155</v>
      </c>
    </row>
    <row r="131" spans="1:7" ht="16.5" x14ac:dyDescent="0.25">
      <c r="A131" s="2" t="s">
        <v>290</v>
      </c>
      <c r="B131" s="6">
        <v>0</v>
      </c>
      <c r="C131" s="2" t="s">
        <v>116</v>
      </c>
      <c r="D131" s="6">
        <v>2</v>
      </c>
      <c r="E131" s="4" t="s">
        <v>154</v>
      </c>
      <c r="F131" s="9"/>
      <c r="G131" s="2" t="s">
        <v>155</v>
      </c>
    </row>
    <row r="132" spans="1:7" ht="30" x14ac:dyDescent="0.25">
      <c r="A132" s="2" t="s">
        <v>290</v>
      </c>
      <c r="B132" s="6">
        <v>0</v>
      </c>
      <c r="C132" s="2" t="s">
        <v>159</v>
      </c>
      <c r="D132" s="6">
        <v>3</v>
      </c>
      <c r="E132" s="4" t="s">
        <v>160</v>
      </c>
      <c r="F132" s="9"/>
      <c r="G132" s="2" t="s">
        <v>161</v>
      </c>
    </row>
    <row r="133" spans="1:7" x14ac:dyDescent="0.25">
      <c r="A133" s="2" t="s">
        <v>290</v>
      </c>
      <c r="B133" s="6">
        <v>0</v>
      </c>
      <c r="C133" s="2" t="s">
        <v>159</v>
      </c>
      <c r="D133" s="6">
        <v>3</v>
      </c>
      <c r="E133" s="4" t="s">
        <v>162</v>
      </c>
      <c r="F133" s="9"/>
      <c r="G133" s="2" t="s">
        <v>163</v>
      </c>
    </row>
    <row r="134" spans="1:7" x14ac:dyDescent="0.25">
      <c r="A134" s="2" t="s">
        <v>290</v>
      </c>
      <c r="B134" s="6">
        <v>0</v>
      </c>
      <c r="C134" s="2" t="s">
        <v>159</v>
      </c>
      <c r="D134" s="6">
        <v>3</v>
      </c>
      <c r="E134" s="4" t="s">
        <v>164</v>
      </c>
      <c r="F134" s="9"/>
      <c r="G134" s="2" t="s">
        <v>165</v>
      </c>
    </row>
    <row r="135" spans="1:7" x14ac:dyDescent="0.25">
      <c r="A135" s="2" t="s">
        <v>290</v>
      </c>
      <c r="B135" s="6">
        <v>0</v>
      </c>
      <c r="C135" s="2" t="s">
        <v>159</v>
      </c>
      <c r="D135" s="6">
        <v>3</v>
      </c>
      <c r="E135" s="4" t="s">
        <v>166</v>
      </c>
      <c r="F135" s="9"/>
      <c r="G135" s="2"/>
    </row>
    <row r="136" spans="1:7" x14ac:dyDescent="0.25">
      <c r="A136" s="2" t="s">
        <v>290</v>
      </c>
      <c r="B136" s="6">
        <v>0</v>
      </c>
      <c r="C136" s="2" t="s">
        <v>159</v>
      </c>
      <c r="D136" s="6">
        <v>3</v>
      </c>
      <c r="E136" s="4" t="s">
        <v>167</v>
      </c>
      <c r="F136" s="9"/>
      <c r="G136" s="2" t="s">
        <v>168</v>
      </c>
    </row>
    <row r="137" spans="1:7" ht="30" x14ac:dyDescent="0.25">
      <c r="A137" s="2" t="s">
        <v>290</v>
      </c>
      <c r="B137" s="6">
        <v>0</v>
      </c>
      <c r="C137" s="2" t="s">
        <v>159</v>
      </c>
      <c r="D137" s="6">
        <v>3</v>
      </c>
      <c r="E137" s="4" t="s">
        <v>169</v>
      </c>
      <c r="F137" s="9"/>
      <c r="G137" s="2" t="s">
        <v>170</v>
      </c>
    </row>
    <row r="138" spans="1:7" x14ac:dyDescent="0.25">
      <c r="A138" s="2" t="s">
        <v>290</v>
      </c>
      <c r="B138" s="6">
        <v>0</v>
      </c>
      <c r="C138" s="2" t="s">
        <v>159</v>
      </c>
      <c r="D138" s="6">
        <v>3</v>
      </c>
      <c r="E138" s="4" t="s">
        <v>159</v>
      </c>
      <c r="F138" s="9"/>
      <c r="G138" s="2" t="s">
        <v>171</v>
      </c>
    </row>
    <row r="139" spans="1:7" x14ac:dyDescent="0.25">
      <c r="A139" s="2" t="s">
        <v>290</v>
      </c>
      <c r="B139" s="6">
        <v>0</v>
      </c>
      <c r="C139" s="2" t="s">
        <v>159</v>
      </c>
      <c r="D139" s="6">
        <v>3</v>
      </c>
      <c r="E139" s="4" t="s">
        <v>172</v>
      </c>
      <c r="F139" s="9"/>
      <c r="G139" s="2" t="s">
        <v>173</v>
      </c>
    </row>
    <row r="140" spans="1:7" ht="30" x14ac:dyDescent="0.25">
      <c r="A140" s="2" t="s">
        <v>290</v>
      </c>
      <c r="B140" s="6">
        <v>0</v>
      </c>
      <c r="C140" s="2" t="s">
        <v>159</v>
      </c>
      <c r="D140" s="6">
        <v>3</v>
      </c>
      <c r="E140" s="4" t="s">
        <v>174</v>
      </c>
      <c r="F140" s="9"/>
      <c r="G140" s="2" t="s">
        <v>175</v>
      </c>
    </row>
    <row r="141" spans="1:7" ht="30" x14ac:dyDescent="0.25">
      <c r="A141" s="2" t="s">
        <v>290</v>
      </c>
      <c r="B141" s="6">
        <v>0</v>
      </c>
      <c r="C141" s="2" t="s">
        <v>159</v>
      </c>
      <c r="D141" s="6">
        <v>3</v>
      </c>
      <c r="E141" s="4" t="s">
        <v>176</v>
      </c>
      <c r="F141" s="9"/>
      <c r="G141" s="2" t="s">
        <v>177</v>
      </c>
    </row>
    <row r="142" spans="1:7" ht="45" x14ac:dyDescent="0.25">
      <c r="A142" s="2" t="s">
        <v>290</v>
      </c>
      <c r="B142" s="6">
        <v>0</v>
      </c>
      <c r="C142" s="2" t="s">
        <v>159</v>
      </c>
      <c r="D142" s="6">
        <v>3</v>
      </c>
      <c r="E142" s="4" t="s">
        <v>178</v>
      </c>
      <c r="F142" s="9"/>
      <c r="G142" s="2" t="s">
        <v>179</v>
      </c>
    </row>
    <row r="143" spans="1:7" x14ac:dyDescent="0.25">
      <c r="A143" s="2" t="s">
        <v>290</v>
      </c>
      <c r="B143" s="6">
        <v>0</v>
      </c>
      <c r="C143" s="2" t="s">
        <v>159</v>
      </c>
      <c r="D143" s="6">
        <v>3</v>
      </c>
      <c r="E143" s="4" t="s">
        <v>180</v>
      </c>
      <c r="F143" s="9"/>
      <c r="G143" s="2" t="s">
        <v>181</v>
      </c>
    </row>
    <row r="144" spans="1:7" ht="75" x14ac:dyDescent="0.25">
      <c r="A144" s="2" t="s">
        <v>290</v>
      </c>
      <c r="B144" s="6">
        <v>0</v>
      </c>
      <c r="C144" s="2" t="s">
        <v>159</v>
      </c>
      <c r="D144" s="6">
        <v>3</v>
      </c>
      <c r="E144" s="4" t="s">
        <v>182</v>
      </c>
      <c r="F144" s="9"/>
      <c r="G144" s="2" t="s">
        <v>183</v>
      </c>
    </row>
    <row r="145" spans="1:7" ht="45" x14ac:dyDescent="0.25">
      <c r="A145" s="2" t="s">
        <v>290</v>
      </c>
      <c r="B145" s="6">
        <v>0</v>
      </c>
      <c r="C145" s="2" t="s">
        <v>159</v>
      </c>
      <c r="D145" s="6">
        <v>3</v>
      </c>
      <c r="E145" s="4" t="s">
        <v>184</v>
      </c>
      <c r="F145" s="9"/>
      <c r="G145" s="2" t="s">
        <v>185</v>
      </c>
    </row>
    <row r="146" spans="1:7" ht="30" x14ac:dyDescent="0.25">
      <c r="A146" s="2" t="s">
        <v>290</v>
      </c>
      <c r="B146" s="6">
        <v>0</v>
      </c>
      <c r="C146" s="2" t="s">
        <v>159</v>
      </c>
      <c r="D146" s="6">
        <v>3</v>
      </c>
      <c r="E146" s="4" t="s">
        <v>186</v>
      </c>
      <c r="F146" s="9"/>
      <c r="G146" s="2" t="s">
        <v>187</v>
      </c>
    </row>
    <row r="147" spans="1:7" ht="30" x14ac:dyDescent="0.25">
      <c r="A147" s="2" t="s">
        <v>290</v>
      </c>
      <c r="B147" s="6">
        <v>0</v>
      </c>
      <c r="C147" s="2" t="s">
        <v>159</v>
      </c>
      <c r="D147" s="6">
        <v>3</v>
      </c>
      <c r="E147" s="4" t="s">
        <v>188</v>
      </c>
      <c r="F147" s="9"/>
      <c r="G147" s="2" t="s">
        <v>189</v>
      </c>
    </row>
    <row r="148" spans="1:7" ht="30" x14ac:dyDescent="0.25">
      <c r="A148" s="2" t="s">
        <v>290</v>
      </c>
      <c r="B148" s="6">
        <v>0</v>
      </c>
      <c r="C148" s="2" t="s">
        <v>159</v>
      </c>
      <c r="D148" s="6">
        <v>3</v>
      </c>
      <c r="E148" s="4" t="s">
        <v>190</v>
      </c>
      <c r="F148" s="9"/>
      <c r="G148" s="2" t="s">
        <v>191</v>
      </c>
    </row>
    <row r="149" spans="1:7" x14ac:dyDescent="0.25">
      <c r="A149" s="2" t="s">
        <v>290</v>
      </c>
      <c r="B149" s="6">
        <v>0</v>
      </c>
      <c r="C149" s="2" t="s">
        <v>159</v>
      </c>
      <c r="D149" s="6">
        <v>3</v>
      </c>
      <c r="E149" s="4" t="s">
        <v>192</v>
      </c>
      <c r="F149" s="9"/>
      <c r="G149" s="2" t="s">
        <v>193</v>
      </c>
    </row>
    <row r="150" spans="1:7" ht="60" x14ac:dyDescent="0.25">
      <c r="A150" s="2" t="s">
        <v>290</v>
      </c>
      <c r="B150" s="6">
        <v>0</v>
      </c>
      <c r="C150" s="2" t="s">
        <v>159</v>
      </c>
      <c r="D150" s="6">
        <v>3</v>
      </c>
      <c r="E150" s="4" t="s">
        <v>194</v>
      </c>
      <c r="F150" s="9"/>
      <c r="G150" s="2" t="s">
        <v>195</v>
      </c>
    </row>
    <row r="151" spans="1:7" x14ac:dyDescent="0.25">
      <c r="A151" s="2" t="s">
        <v>290</v>
      </c>
      <c r="B151" s="6">
        <v>0</v>
      </c>
      <c r="C151" s="2" t="s">
        <v>159</v>
      </c>
      <c r="D151" s="6">
        <v>3</v>
      </c>
      <c r="E151" s="4" t="s">
        <v>196</v>
      </c>
      <c r="F151" s="9"/>
      <c r="G151" s="2" t="s">
        <v>197</v>
      </c>
    </row>
    <row r="152" spans="1:7" x14ac:dyDescent="0.25">
      <c r="A152" s="2" t="s">
        <v>290</v>
      </c>
      <c r="B152" s="6">
        <v>0</v>
      </c>
      <c r="C152" s="2" t="s">
        <v>159</v>
      </c>
      <c r="D152" s="6">
        <v>3</v>
      </c>
      <c r="E152" s="4" t="s">
        <v>198</v>
      </c>
      <c r="F152" s="9"/>
      <c r="G152" s="2"/>
    </row>
    <row r="153" spans="1:7" ht="30" x14ac:dyDescent="0.25">
      <c r="A153" s="2" t="s">
        <v>290</v>
      </c>
      <c r="B153" s="6">
        <v>0</v>
      </c>
      <c r="C153" s="2" t="s">
        <v>199</v>
      </c>
      <c r="D153" s="6">
        <v>4</v>
      </c>
      <c r="E153" s="4" t="s">
        <v>200</v>
      </c>
      <c r="F153" s="9"/>
      <c r="G153" s="2" t="s">
        <v>201</v>
      </c>
    </row>
    <row r="154" spans="1:7" ht="30" x14ac:dyDescent="0.25">
      <c r="A154" s="2" t="s">
        <v>290</v>
      </c>
      <c r="B154" s="6">
        <v>0</v>
      </c>
      <c r="C154" s="2" t="s">
        <v>199</v>
      </c>
      <c r="D154" s="6">
        <v>4</v>
      </c>
      <c r="E154" s="4" t="s">
        <v>200</v>
      </c>
      <c r="F154" s="9"/>
      <c r="G154" s="2" t="s">
        <v>201</v>
      </c>
    </row>
    <row r="155" spans="1:7" ht="30" x14ac:dyDescent="0.25">
      <c r="A155" s="2" t="s">
        <v>290</v>
      </c>
      <c r="B155" s="6">
        <v>0</v>
      </c>
      <c r="C155" s="2" t="s">
        <v>199</v>
      </c>
      <c r="D155" s="6">
        <v>4</v>
      </c>
      <c r="E155" s="4" t="s">
        <v>200</v>
      </c>
      <c r="F155" s="9"/>
      <c r="G155" s="2" t="s">
        <v>201</v>
      </c>
    </row>
    <row r="156" spans="1:7" ht="30" x14ac:dyDescent="0.25">
      <c r="A156" s="2" t="s">
        <v>290</v>
      </c>
      <c r="B156" s="6">
        <v>0</v>
      </c>
      <c r="C156" s="2" t="s">
        <v>199</v>
      </c>
      <c r="D156" s="6">
        <v>4</v>
      </c>
      <c r="E156" s="4" t="s">
        <v>200</v>
      </c>
      <c r="F156" s="9"/>
      <c r="G156" s="2" t="s">
        <v>201</v>
      </c>
    </row>
    <row r="157" spans="1:7" ht="30" x14ac:dyDescent="0.25">
      <c r="A157" s="2" t="s">
        <v>290</v>
      </c>
      <c r="B157" s="6">
        <v>0</v>
      </c>
      <c r="C157" s="2" t="s">
        <v>199</v>
      </c>
      <c r="D157" s="6">
        <v>4</v>
      </c>
      <c r="E157" s="4" t="s">
        <v>200</v>
      </c>
      <c r="F157" s="9"/>
      <c r="G157" s="2" t="s">
        <v>201</v>
      </c>
    </row>
    <row r="158" spans="1:7" ht="30" x14ac:dyDescent="0.25">
      <c r="A158" s="2" t="s">
        <v>290</v>
      </c>
      <c r="B158" s="6">
        <v>0</v>
      </c>
      <c r="C158" s="2" t="s">
        <v>199</v>
      </c>
      <c r="D158" s="6">
        <v>4</v>
      </c>
      <c r="E158" s="4" t="s">
        <v>200</v>
      </c>
      <c r="F158" s="9"/>
      <c r="G158" s="2" t="s">
        <v>201</v>
      </c>
    </row>
    <row r="159" spans="1:7" ht="30" x14ac:dyDescent="0.25">
      <c r="A159" s="2" t="s">
        <v>290</v>
      </c>
      <c r="B159" s="6">
        <v>0</v>
      </c>
      <c r="C159" s="2" t="s">
        <v>199</v>
      </c>
      <c r="D159" s="6">
        <v>4</v>
      </c>
      <c r="E159" s="4" t="s">
        <v>200</v>
      </c>
      <c r="F159" s="9"/>
      <c r="G159" s="2" t="s">
        <v>201</v>
      </c>
    </row>
    <row r="160" spans="1:7" ht="30" x14ac:dyDescent="0.25">
      <c r="A160" s="2" t="s">
        <v>290</v>
      </c>
      <c r="B160" s="6">
        <v>0</v>
      </c>
      <c r="C160" s="2" t="s">
        <v>199</v>
      </c>
      <c r="D160" s="6">
        <v>4</v>
      </c>
      <c r="E160" s="4" t="s">
        <v>200</v>
      </c>
      <c r="F160" s="9"/>
      <c r="G160" s="2" t="s">
        <v>201</v>
      </c>
    </row>
    <row r="161" spans="1:7" ht="30" x14ac:dyDescent="0.25">
      <c r="A161" s="2" t="s">
        <v>290</v>
      </c>
      <c r="B161" s="6">
        <v>0</v>
      </c>
      <c r="C161" s="2" t="s">
        <v>199</v>
      </c>
      <c r="D161" s="6">
        <v>4</v>
      </c>
      <c r="E161" s="4" t="s">
        <v>200</v>
      </c>
      <c r="F161" s="9"/>
      <c r="G161" s="2" t="s">
        <v>201</v>
      </c>
    </row>
    <row r="162" spans="1:7" ht="30" x14ac:dyDescent="0.25">
      <c r="A162" s="2" t="s">
        <v>290</v>
      </c>
      <c r="B162" s="6">
        <v>0</v>
      </c>
      <c r="C162" s="2" t="s">
        <v>199</v>
      </c>
      <c r="D162" s="6">
        <v>4</v>
      </c>
      <c r="E162" s="4" t="s">
        <v>200</v>
      </c>
      <c r="F162" s="9"/>
      <c r="G162" s="2" t="s">
        <v>201</v>
      </c>
    </row>
    <row r="163" spans="1:7" ht="30" x14ac:dyDescent="0.25">
      <c r="A163" s="2" t="s">
        <v>290</v>
      </c>
      <c r="B163" s="6">
        <v>0</v>
      </c>
      <c r="C163" s="2" t="s">
        <v>199</v>
      </c>
      <c r="D163" s="6">
        <v>4</v>
      </c>
      <c r="E163" s="4" t="s">
        <v>212</v>
      </c>
      <c r="F163" s="9"/>
      <c r="G163" s="2" t="s">
        <v>213</v>
      </c>
    </row>
    <row r="164" spans="1:7" ht="30" x14ac:dyDescent="0.25">
      <c r="A164" s="2" t="s">
        <v>290</v>
      </c>
      <c r="B164" s="6">
        <v>0</v>
      </c>
      <c r="C164" s="2" t="s">
        <v>199</v>
      </c>
      <c r="D164" s="6">
        <v>4</v>
      </c>
      <c r="E164" s="4" t="s">
        <v>212</v>
      </c>
      <c r="F164" s="9"/>
      <c r="G164" s="2" t="s">
        <v>213</v>
      </c>
    </row>
    <row r="165" spans="1:7" ht="30" x14ac:dyDescent="0.25">
      <c r="A165" s="2" t="s">
        <v>290</v>
      </c>
      <c r="B165" s="6">
        <v>0</v>
      </c>
      <c r="C165" s="2" t="s">
        <v>199</v>
      </c>
      <c r="D165" s="6">
        <v>4</v>
      </c>
      <c r="E165" s="4" t="s">
        <v>212</v>
      </c>
      <c r="F165" s="9"/>
      <c r="G165" s="2" t="s">
        <v>213</v>
      </c>
    </row>
    <row r="166" spans="1:7" ht="30" x14ac:dyDescent="0.25">
      <c r="A166" s="2" t="s">
        <v>290</v>
      </c>
      <c r="B166" s="6">
        <v>0</v>
      </c>
      <c r="C166" s="2" t="s">
        <v>199</v>
      </c>
      <c r="D166" s="6">
        <v>4</v>
      </c>
      <c r="E166" s="4" t="s">
        <v>212</v>
      </c>
      <c r="F166" s="9"/>
      <c r="G166" s="2" t="s">
        <v>213</v>
      </c>
    </row>
    <row r="167" spans="1:7" ht="30" x14ac:dyDescent="0.25">
      <c r="A167" s="2" t="s">
        <v>290</v>
      </c>
      <c r="B167" s="6">
        <v>0</v>
      </c>
      <c r="C167" s="2" t="s">
        <v>199</v>
      </c>
      <c r="D167" s="6">
        <v>4</v>
      </c>
      <c r="E167" s="4" t="s">
        <v>218</v>
      </c>
      <c r="F167" s="9"/>
      <c r="G167" s="2" t="s">
        <v>219</v>
      </c>
    </row>
    <row r="168" spans="1:7" ht="30" x14ac:dyDescent="0.25">
      <c r="A168" s="2" t="s">
        <v>290</v>
      </c>
      <c r="B168" s="6">
        <v>0</v>
      </c>
      <c r="C168" s="2" t="s">
        <v>199</v>
      </c>
      <c r="D168" s="6">
        <v>4</v>
      </c>
      <c r="E168" s="4" t="s">
        <v>218</v>
      </c>
      <c r="F168" s="9"/>
      <c r="G168" s="2" t="s">
        <v>219</v>
      </c>
    </row>
    <row r="169" spans="1:7" ht="30" x14ac:dyDescent="0.25">
      <c r="A169" s="2" t="s">
        <v>290</v>
      </c>
      <c r="B169" s="6">
        <v>0</v>
      </c>
      <c r="C169" s="2" t="s">
        <v>199</v>
      </c>
      <c r="D169" s="6">
        <v>4</v>
      </c>
      <c r="E169" s="4" t="s">
        <v>218</v>
      </c>
      <c r="F169" s="9"/>
      <c r="G169" s="2" t="s">
        <v>219</v>
      </c>
    </row>
    <row r="170" spans="1:7" ht="30" x14ac:dyDescent="0.25">
      <c r="A170" s="2" t="s">
        <v>290</v>
      </c>
      <c r="B170" s="6">
        <v>0</v>
      </c>
      <c r="C170" s="2" t="s">
        <v>199</v>
      </c>
      <c r="D170" s="6">
        <v>4</v>
      </c>
      <c r="E170" s="4" t="s">
        <v>218</v>
      </c>
      <c r="F170" s="9"/>
      <c r="G170" s="2" t="s">
        <v>219</v>
      </c>
    </row>
    <row r="171" spans="1:7" ht="30" x14ac:dyDescent="0.25">
      <c r="A171" s="2" t="s">
        <v>290</v>
      </c>
      <c r="B171" s="6">
        <v>0</v>
      </c>
      <c r="C171" s="2" t="s">
        <v>199</v>
      </c>
      <c r="D171" s="6">
        <v>4</v>
      </c>
      <c r="E171" s="4" t="s">
        <v>218</v>
      </c>
      <c r="F171" s="9"/>
      <c r="G171" s="2" t="s">
        <v>219</v>
      </c>
    </row>
    <row r="172" spans="1:7" ht="30" x14ac:dyDescent="0.25">
      <c r="A172" s="2" t="s">
        <v>290</v>
      </c>
      <c r="B172" s="6">
        <v>0</v>
      </c>
      <c r="C172" s="2" t="s">
        <v>199</v>
      </c>
      <c r="D172" s="6">
        <v>4</v>
      </c>
      <c r="E172" s="4" t="s">
        <v>225</v>
      </c>
      <c r="F172" s="9"/>
      <c r="G172" s="2" t="s">
        <v>226</v>
      </c>
    </row>
    <row r="173" spans="1:7" ht="30" x14ac:dyDescent="0.25">
      <c r="A173" s="2" t="s">
        <v>290</v>
      </c>
      <c r="B173" s="6">
        <v>0</v>
      </c>
      <c r="C173" s="2" t="s">
        <v>199</v>
      </c>
      <c r="D173" s="6">
        <v>4</v>
      </c>
      <c r="E173" s="4" t="s">
        <v>225</v>
      </c>
      <c r="F173" s="9"/>
      <c r="G173" s="2" t="s">
        <v>226</v>
      </c>
    </row>
    <row r="174" spans="1:7" ht="30" x14ac:dyDescent="0.25">
      <c r="A174" s="2" t="s">
        <v>290</v>
      </c>
      <c r="B174" s="6">
        <v>0</v>
      </c>
      <c r="C174" s="2" t="s">
        <v>199</v>
      </c>
      <c r="D174" s="6">
        <v>4</v>
      </c>
      <c r="E174" s="4" t="s">
        <v>225</v>
      </c>
      <c r="F174" s="9"/>
      <c r="G174" s="2" t="s">
        <v>226</v>
      </c>
    </row>
    <row r="175" spans="1:7" ht="30" x14ac:dyDescent="0.25">
      <c r="A175" s="2" t="s">
        <v>290</v>
      </c>
      <c r="B175" s="6">
        <v>0</v>
      </c>
      <c r="C175" s="2" t="s">
        <v>199</v>
      </c>
      <c r="D175" s="6">
        <v>4</v>
      </c>
      <c r="E175" s="4" t="s">
        <v>225</v>
      </c>
      <c r="F175" s="9"/>
      <c r="G175" s="2" t="s">
        <v>226</v>
      </c>
    </row>
    <row r="176" spans="1:7" ht="30" x14ac:dyDescent="0.25">
      <c r="A176" s="2" t="s">
        <v>290</v>
      </c>
      <c r="B176" s="6">
        <v>0</v>
      </c>
      <c r="C176" s="2" t="s">
        <v>199</v>
      </c>
      <c r="D176" s="6">
        <v>4</v>
      </c>
      <c r="E176" s="4" t="s">
        <v>225</v>
      </c>
      <c r="F176" s="9"/>
      <c r="G176" s="2" t="s">
        <v>226</v>
      </c>
    </row>
    <row r="177" spans="1:7" ht="30" x14ac:dyDescent="0.25">
      <c r="A177" s="2" t="s">
        <v>290</v>
      </c>
      <c r="B177" s="6">
        <v>0</v>
      </c>
      <c r="C177" s="2" t="s">
        <v>199</v>
      </c>
      <c r="D177" s="6">
        <v>4</v>
      </c>
      <c r="E177" s="4" t="s">
        <v>225</v>
      </c>
      <c r="F177" s="9"/>
      <c r="G177" s="2" t="s">
        <v>226</v>
      </c>
    </row>
    <row r="178" spans="1:7" ht="30" x14ac:dyDescent="0.25">
      <c r="A178" s="2" t="s">
        <v>290</v>
      </c>
      <c r="B178" s="6">
        <v>0</v>
      </c>
      <c r="C178" s="2" t="s">
        <v>199</v>
      </c>
      <c r="D178" s="6">
        <v>4</v>
      </c>
      <c r="E178" s="4" t="s">
        <v>225</v>
      </c>
      <c r="F178" s="9"/>
      <c r="G178" s="2" t="s">
        <v>226</v>
      </c>
    </row>
    <row r="179" spans="1:7" ht="270" x14ac:dyDescent="0.25">
      <c r="A179" s="2" t="s">
        <v>290</v>
      </c>
      <c r="B179" s="6">
        <v>0</v>
      </c>
      <c r="C179" s="2" t="s">
        <v>199</v>
      </c>
      <c r="D179" s="6">
        <v>4</v>
      </c>
      <c r="E179" s="4" t="s">
        <v>234</v>
      </c>
      <c r="F179" s="9"/>
      <c r="G179" s="2" t="s">
        <v>235</v>
      </c>
    </row>
    <row r="180" spans="1:7" ht="270" x14ac:dyDescent="0.25">
      <c r="A180" s="2" t="s">
        <v>290</v>
      </c>
      <c r="B180" s="6">
        <v>0</v>
      </c>
      <c r="C180" s="2" t="s">
        <v>199</v>
      </c>
      <c r="D180" s="6">
        <v>4</v>
      </c>
      <c r="E180" s="4" t="s">
        <v>234</v>
      </c>
      <c r="F180" s="9"/>
      <c r="G180" s="2" t="s">
        <v>235</v>
      </c>
    </row>
    <row r="181" spans="1:7" ht="45" x14ac:dyDescent="0.25">
      <c r="A181" s="2" t="s">
        <v>290</v>
      </c>
      <c r="B181" s="6">
        <v>0</v>
      </c>
      <c r="C181" s="2" t="s">
        <v>199</v>
      </c>
      <c r="D181" s="6">
        <v>4</v>
      </c>
      <c r="E181" s="4" t="s">
        <v>238</v>
      </c>
      <c r="F181" s="9"/>
      <c r="G181" s="2" t="s">
        <v>239</v>
      </c>
    </row>
    <row r="182" spans="1:7" ht="45" x14ac:dyDescent="0.25">
      <c r="A182" s="2" t="s">
        <v>290</v>
      </c>
      <c r="B182" s="6">
        <v>0</v>
      </c>
      <c r="C182" s="2" t="s">
        <v>199</v>
      </c>
      <c r="D182" s="6">
        <v>4</v>
      </c>
      <c r="E182" s="4" t="s">
        <v>238</v>
      </c>
      <c r="F182" s="9"/>
      <c r="G182" s="2" t="s">
        <v>239</v>
      </c>
    </row>
    <row r="183" spans="1:7" ht="45" x14ac:dyDescent="0.25">
      <c r="A183" s="2" t="s">
        <v>290</v>
      </c>
      <c r="B183" s="6">
        <v>0</v>
      </c>
      <c r="C183" s="2" t="s">
        <v>199</v>
      </c>
      <c r="D183" s="6">
        <v>4</v>
      </c>
      <c r="E183" s="4" t="s">
        <v>238</v>
      </c>
      <c r="F183" s="9"/>
      <c r="G183" s="2" t="s">
        <v>239</v>
      </c>
    </row>
    <row r="184" spans="1:7" ht="45" x14ac:dyDescent="0.25">
      <c r="A184" s="2" t="s">
        <v>290</v>
      </c>
      <c r="B184" s="6">
        <v>0</v>
      </c>
      <c r="C184" s="2" t="s">
        <v>199</v>
      </c>
      <c r="D184" s="6">
        <v>4</v>
      </c>
      <c r="E184" s="4" t="s">
        <v>238</v>
      </c>
      <c r="F184" s="9"/>
      <c r="G184" s="2" t="s">
        <v>239</v>
      </c>
    </row>
    <row r="185" spans="1:7" ht="45" x14ac:dyDescent="0.25">
      <c r="A185" s="2" t="s">
        <v>290</v>
      </c>
      <c r="B185" s="6">
        <v>0</v>
      </c>
      <c r="C185" s="2" t="s">
        <v>199</v>
      </c>
      <c r="D185" s="6">
        <v>4</v>
      </c>
      <c r="E185" s="4" t="s">
        <v>238</v>
      </c>
      <c r="F185" s="9"/>
      <c r="G185" s="2" t="s">
        <v>239</v>
      </c>
    </row>
    <row r="186" spans="1:7" ht="30" x14ac:dyDescent="0.25">
      <c r="A186" s="2" t="s">
        <v>290</v>
      </c>
      <c r="B186" s="6">
        <v>0</v>
      </c>
      <c r="C186" s="2" t="s">
        <v>199</v>
      </c>
      <c r="D186" s="6">
        <v>4</v>
      </c>
      <c r="E186" s="4" t="s">
        <v>244</v>
      </c>
      <c r="F186" s="9"/>
      <c r="G186" s="2" t="s">
        <v>245</v>
      </c>
    </row>
    <row r="187" spans="1:7" ht="30" x14ac:dyDescent="0.25">
      <c r="A187" s="2" t="s">
        <v>290</v>
      </c>
      <c r="B187" s="6">
        <v>0</v>
      </c>
      <c r="C187" s="2" t="s">
        <v>199</v>
      </c>
      <c r="D187" s="6">
        <v>4</v>
      </c>
      <c r="E187" s="4" t="s">
        <v>244</v>
      </c>
      <c r="F187" s="9"/>
      <c r="G187" s="2" t="s">
        <v>245</v>
      </c>
    </row>
    <row r="188" spans="1:7" ht="30" x14ac:dyDescent="0.25">
      <c r="A188" s="2" t="s">
        <v>290</v>
      </c>
      <c r="B188" s="6">
        <v>0</v>
      </c>
      <c r="C188" s="2" t="s">
        <v>199</v>
      </c>
      <c r="D188" s="6">
        <v>4</v>
      </c>
      <c r="E188" s="4" t="s">
        <v>244</v>
      </c>
      <c r="F188" s="9"/>
      <c r="G188" s="2" t="s">
        <v>245</v>
      </c>
    </row>
    <row r="189" spans="1:7" ht="30" x14ac:dyDescent="0.25">
      <c r="A189" s="2" t="s">
        <v>290</v>
      </c>
      <c r="B189" s="6">
        <v>0</v>
      </c>
      <c r="C189" s="2" t="s">
        <v>199</v>
      </c>
      <c r="D189" s="6">
        <v>4</v>
      </c>
      <c r="E189" s="4" t="s">
        <v>244</v>
      </c>
      <c r="F189" s="9"/>
      <c r="G189" s="2" t="s">
        <v>245</v>
      </c>
    </row>
    <row r="190" spans="1:7" ht="30" x14ac:dyDescent="0.25">
      <c r="A190" s="2" t="s">
        <v>290</v>
      </c>
      <c r="B190" s="6">
        <v>0</v>
      </c>
      <c r="C190" s="2" t="s">
        <v>199</v>
      </c>
      <c r="D190" s="6">
        <v>4</v>
      </c>
      <c r="E190" s="4" t="s">
        <v>244</v>
      </c>
      <c r="F190" s="9"/>
      <c r="G190" s="2" t="s">
        <v>245</v>
      </c>
    </row>
    <row r="191" spans="1:7" ht="30" x14ac:dyDescent="0.25">
      <c r="A191" s="2" t="s">
        <v>290</v>
      </c>
      <c r="B191" s="6">
        <v>0</v>
      </c>
      <c r="C191" s="2" t="s">
        <v>199</v>
      </c>
      <c r="D191" s="6">
        <v>4</v>
      </c>
      <c r="E191" s="4" t="s">
        <v>244</v>
      </c>
      <c r="F191" s="9"/>
      <c r="G191" s="2" t="s">
        <v>245</v>
      </c>
    </row>
    <row r="192" spans="1:7" ht="30" x14ac:dyDescent="0.25">
      <c r="A192" s="2" t="s">
        <v>290</v>
      </c>
      <c r="B192" s="6">
        <v>0</v>
      </c>
      <c r="C192" s="2" t="s">
        <v>199</v>
      </c>
      <c r="D192" s="6">
        <v>4</v>
      </c>
      <c r="E192" s="4" t="s">
        <v>244</v>
      </c>
      <c r="F192" s="9"/>
      <c r="G192" s="2" t="s">
        <v>245</v>
      </c>
    </row>
    <row r="193" spans="1:7" ht="30" x14ac:dyDescent="0.25">
      <c r="A193" s="2" t="s">
        <v>290</v>
      </c>
      <c r="B193" s="6">
        <v>0</v>
      </c>
      <c r="C193" s="2" t="s">
        <v>199</v>
      </c>
      <c r="D193" s="6">
        <v>4</v>
      </c>
      <c r="E193" s="4" t="s">
        <v>244</v>
      </c>
      <c r="F193" s="9"/>
      <c r="G193" s="2" t="s">
        <v>245</v>
      </c>
    </row>
    <row r="194" spans="1:7" ht="30" x14ac:dyDescent="0.25">
      <c r="A194" s="2" t="s">
        <v>290</v>
      </c>
      <c r="B194" s="6">
        <v>0</v>
      </c>
      <c r="C194" s="2" t="s">
        <v>199</v>
      </c>
      <c r="D194" s="6">
        <v>4</v>
      </c>
      <c r="E194" s="4" t="s">
        <v>244</v>
      </c>
      <c r="F194" s="9"/>
      <c r="G194" s="2" t="s">
        <v>245</v>
      </c>
    </row>
    <row r="195" spans="1:7" ht="45" x14ac:dyDescent="0.25">
      <c r="A195" s="2" t="s">
        <v>290</v>
      </c>
      <c r="B195" s="6">
        <v>0</v>
      </c>
      <c r="C195" s="2" t="s">
        <v>199</v>
      </c>
      <c r="D195" s="6">
        <v>4</v>
      </c>
      <c r="E195" s="4" t="s">
        <v>255</v>
      </c>
      <c r="F195" s="9"/>
      <c r="G195" s="2" t="s">
        <v>256</v>
      </c>
    </row>
    <row r="196" spans="1:7" ht="30" x14ac:dyDescent="0.25">
      <c r="A196" s="2" t="s">
        <v>290</v>
      </c>
      <c r="B196" s="6">
        <v>0</v>
      </c>
      <c r="C196" s="2" t="s">
        <v>199</v>
      </c>
      <c r="D196" s="6">
        <v>4</v>
      </c>
      <c r="E196" s="4" t="s">
        <v>257</v>
      </c>
      <c r="F196" s="9"/>
      <c r="G196" s="2" t="s">
        <v>258</v>
      </c>
    </row>
    <row r="197" spans="1:7" x14ac:dyDescent="0.25">
      <c r="A197" s="2" t="s">
        <v>290</v>
      </c>
      <c r="B197" s="6">
        <v>0</v>
      </c>
      <c r="C197" s="2" t="s">
        <v>199</v>
      </c>
      <c r="D197" s="6">
        <v>4</v>
      </c>
      <c r="E197" s="4" t="s">
        <v>259</v>
      </c>
      <c r="F197" s="9"/>
      <c r="G197" s="2" t="s">
        <v>260</v>
      </c>
    </row>
    <row r="198" spans="1:7" x14ac:dyDescent="0.25">
      <c r="A198" s="2" t="s">
        <v>290</v>
      </c>
      <c r="B198" s="6">
        <v>0</v>
      </c>
      <c r="C198" s="2" t="s">
        <v>199</v>
      </c>
      <c r="D198" s="6">
        <v>4</v>
      </c>
      <c r="E198" s="4" t="s">
        <v>261</v>
      </c>
      <c r="F198" s="9"/>
      <c r="G198" s="2"/>
    </row>
    <row r="199" spans="1:7" x14ac:dyDescent="0.25">
      <c r="A199" s="2" t="s">
        <v>290</v>
      </c>
      <c r="B199" s="6">
        <v>0</v>
      </c>
      <c r="C199" s="2" t="s">
        <v>199</v>
      </c>
      <c r="D199" s="6">
        <v>4</v>
      </c>
      <c r="E199" s="4" t="s">
        <v>261</v>
      </c>
      <c r="F199" s="9"/>
      <c r="G199" s="2"/>
    </row>
    <row r="200" spans="1:7" x14ac:dyDescent="0.25">
      <c r="A200" s="2" t="s">
        <v>290</v>
      </c>
      <c r="B200" s="6">
        <v>0</v>
      </c>
      <c r="C200" s="2" t="s">
        <v>199</v>
      </c>
      <c r="D200" s="6">
        <v>4</v>
      </c>
      <c r="E200" s="4" t="s">
        <v>261</v>
      </c>
      <c r="F200" s="9"/>
      <c r="G200" s="2"/>
    </row>
    <row r="201" spans="1:7" x14ac:dyDescent="0.25">
      <c r="A201" s="2" t="s">
        <v>290</v>
      </c>
      <c r="B201" s="6">
        <v>0</v>
      </c>
      <c r="C201" s="2" t="s">
        <v>199</v>
      </c>
      <c r="D201" s="6">
        <v>4</v>
      </c>
      <c r="E201" s="4" t="s">
        <v>261</v>
      </c>
      <c r="F201" s="9"/>
      <c r="G201" s="2"/>
    </row>
    <row r="202" spans="1:7" x14ac:dyDescent="0.25">
      <c r="A202" s="2" t="s">
        <v>290</v>
      </c>
      <c r="B202" s="6">
        <v>0</v>
      </c>
      <c r="C202" s="2" t="s">
        <v>199</v>
      </c>
      <c r="D202" s="6">
        <v>4</v>
      </c>
      <c r="E202" s="4"/>
      <c r="F202" s="9"/>
      <c r="G202" s="2"/>
    </row>
    <row r="203" spans="1:7" x14ac:dyDescent="0.25">
      <c r="A203" s="2" t="s">
        <v>290</v>
      </c>
      <c r="B203" s="6">
        <v>0</v>
      </c>
      <c r="C203" s="2" t="s">
        <v>199</v>
      </c>
      <c r="D203" s="6">
        <v>4</v>
      </c>
      <c r="E203" s="4"/>
      <c r="F203" s="9"/>
      <c r="G203" s="2"/>
    </row>
    <row r="204" spans="1:7" x14ac:dyDescent="0.25">
      <c r="A204" s="2" t="s">
        <v>290</v>
      </c>
      <c r="B204" s="6">
        <v>0</v>
      </c>
      <c r="C204" s="2" t="s">
        <v>199</v>
      </c>
      <c r="D204" s="6">
        <v>4</v>
      </c>
      <c r="E204" s="4"/>
      <c r="F204" s="9"/>
      <c r="G204" s="2"/>
    </row>
    <row r="205" spans="1:7" x14ac:dyDescent="0.25">
      <c r="A205" s="2" t="s">
        <v>290</v>
      </c>
      <c r="B205" s="6">
        <v>0</v>
      </c>
      <c r="C205" s="2" t="s">
        <v>199</v>
      </c>
      <c r="D205" s="6">
        <v>4</v>
      </c>
      <c r="E205" s="4"/>
      <c r="F205" s="9"/>
      <c r="G205" s="2"/>
    </row>
    <row r="206" spans="1:7" x14ac:dyDescent="0.25">
      <c r="A206" s="2" t="s">
        <v>290</v>
      </c>
      <c r="B206" s="6">
        <v>0</v>
      </c>
      <c r="C206" s="2" t="s">
        <v>270</v>
      </c>
      <c r="D206" s="6">
        <v>5</v>
      </c>
      <c r="E206" s="4" t="s">
        <v>271</v>
      </c>
      <c r="F206" s="9"/>
      <c r="G206" s="2" t="s">
        <v>272</v>
      </c>
    </row>
    <row r="207" spans="1:7" ht="30" x14ac:dyDescent="0.25">
      <c r="A207" s="2" t="s">
        <v>290</v>
      </c>
      <c r="B207" s="6">
        <v>0</v>
      </c>
      <c r="C207" s="2" t="s">
        <v>270</v>
      </c>
      <c r="D207" s="6">
        <v>5</v>
      </c>
      <c r="E207" s="4" t="s">
        <v>273</v>
      </c>
      <c r="F207" s="9"/>
      <c r="G207" s="2" t="s">
        <v>274</v>
      </c>
    </row>
    <row r="208" spans="1:7" x14ac:dyDescent="0.25">
      <c r="A208" s="2" t="s">
        <v>290</v>
      </c>
      <c r="B208" s="6">
        <v>0</v>
      </c>
      <c r="C208" s="2" t="s">
        <v>270</v>
      </c>
      <c r="D208" s="6">
        <v>5</v>
      </c>
      <c r="E208" s="4" t="s">
        <v>275</v>
      </c>
      <c r="F208" s="9"/>
      <c r="G208" s="2" t="s">
        <v>276</v>
      </c>
    </row>
    <row r="209" spans="1:7" ht="30" x14ac:dyDescent="0.25">
      <c r="A209" s="2" t="s">
        <v>290</v>
      </c>
      <c r="B209" s="6">
        <v>0</v>
      </c>
      <c r="C209" s="2" t="s">
        <v>270</v>
      </c>
      <c r="D209" s="6">
        <v>5</v>
      </c>
      <c r="E209" s="4" t="s">
        <v>277</v>
      </c>
      <c r="F209" s="9"/>
      <c r="G209" s="2" t="s">
        <v>278</v>
      </c>
    </row>
    <row r="210" spans="1:7" x14ac:dyDescent="0.25">
      <c r="A210" s="2" t="s">
        <v>290</v>
      </c>
      <c r="B210" s="6">
        <v>0</v>
      </c>
      <c r="C210" s="2" t="s">
        <v>270</v>
      </c>
      <c r="D210" s="6">
        <v>5</v>
      </c>
      <c r="E210" s="4" t="s">
        <v>279</v>
      </c>
      <c r="F210" s="9"/>
      <c r="G210" s="2" t="s">
        <v>280</v>
      </c>
    </row>
    <row r="211" spans="1:7" ht="30" x14ac:dyDescent="0.25">
      <c r="A211" s="2" t="s">
        <v>290</v>
      </c>
      <c r="B211" s="6">
        <v>0</v>
      </c>
      <c r="C211" s="2" t="s">
        <v>270</v>
      </c>
      <c r="D211" s="6">
        <v>5</v>
      </c>
      <c r="E211" s="4" t="s">
        <v>281</v>
      </c>
      <c r="F211" s="9"/>
      <c r="G211" s="2" t="s">
        <v>282</v>
      </c>
    </row>
    <row r="212" spans="1:7" ht="60" x14ac:dyDescent="0.25">
      <c r="A212" s="2" t="s">
        <v>290</v>
      </c>
      <c r="B212" s="6">
        <v>0</v>
      </c>
      <c r="C212" s="2" t="s">
        <v>270</v>
      </c>
      <c r="D212" s="6">
        <v>5</v>
      </c>
      <c r="E212" s="4" t="s">
        <v>283</v>
      </c>
      <c r="F212" s="9"/>
      <c r="G212" s="2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Questions</vt:lpstr>
      <vt:lpstr>Cat</vt:lpstr>
      <vt:lpstr>Subcat</vt:lpstr>
      <vt:lpstr>Topics</vt:lpstr>
      <vt:lpstr>Concepts</vt:lpstr>
      <vt:lpstr>Categories</vt:lpstr>
      <vt:lpstr>CategoriesNames</vt:lpstr>
      <vt:lpstr>CodeEntry</vt:lpstr>
      <vt:lpstr>Questions</vt:lpstr>
      <vt:lpstr>Subcategories</vt:lpstr>
      <vt:lpstr>Topics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2022-09-08T17:22:02Z</dcterms:created>
  <dcterms:modified xsi:type="dcterms:W3CDTF">2022-10-11T23:33:01Z</dcterms:modified>
</cp:coreProperties>
</file>